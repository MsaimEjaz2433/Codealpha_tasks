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1acbd62bcdc4fb2/Desktop/CodeAlpha_LaptopCategory_Amazon/02_Cleaned_Data/"/>
    </mc:Choice>
  </mc:AlternateContent>
  <xr:revisionPtr revIDLastSave="38" documentId="8_{DCB672D5-91BD-4106-9730-B910479F7183}" xr6:coauthVersionLast="47" xr6:coauthVersionMax="47" xr10:uidLastSave="{0CFF95AA-C8A4-4263-B066-9C9A6DD77900}"/>
  <bookViews>
    <workbookView xWindow="-108" yWindow="-108" windowWidth="23256" windowHeight="12456" xr2:uid="{883B07CD-A867-4B46-8DC6-F34099C0CE1C}"/>
  </bookViews>
  <sheets>
    <sheet name="Amazon.com _ gaming laptops_dat" sheetId="4" r:id="rId1"/>
    <sheet name="Sheet2" sheetId="7" state="hidden" r:id="rId2"/>
    <sheet name="Exploratory Data Analysis (EDA)" sheetId="5" r:id="rId3"/>
  </sheets>
  <definedNames>
    <definedName name="_xlchart.v1.0" hidden="1">'Amazon.com _ gaming laptops_dat'!$U$1</definedName>
    <definedName name="_xlchart.v1.1" hidden="1">'Amazon.com _ gaming laptops_dat'!$U$2:$U$59</definedName>
    <definedName name="_xlchart.v1.2" hidden="1">'Amazon.com _ gaming laptops_dat'!$W$1</definedName>
    <definedName name="_xlchart.v1.3" hidden="1">'Amazon.com _ gaming laptops_dat'!$W$2:$W$60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7" l="1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F1" i="7"/>
  <c r="E1" i="7"/>
  <c r="V43" i="5"/>
  <c r="V69" i="5"/>
  <c r="N48" i="5"/>
  <c r="N47" i="5"/>
  <c r="N46" i="5"/>
  <c r="N45" i="5"/>
  <c r="N44" i="5"/>
  <c r="N43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M28" i="5" a="1"/>
  <c r="M28" i="5" s="1"/>
  <c r="L29" i="5"/>
  <c r="L30" i="5"/>
  <c r="L31" i="5"/>
  <c r="L32" i="5"/>
  <c r="L33" i="5"/>
  <c r="L34" i="5"/>
  <c r="L35" i="5"/>
  <c r="L3" i="5"/>
  <c r="M3" i="5"/>
  <c r="L4" i="5"/>
  <c r="M4" i="5"/>
  <c r="L6" i="5"/>
  <c r="M6" i="5"/>
  <c r="L7" i="5"/>
  <c r="M7" i="5"/>
  <c r="L8" i="5"/>
  <c r="M8" i="5"/>
  <c r="L9" i="5"/>
  <c r="M9" i="5"/>
  <c r="L10" i="5"/>
  <c r="M10" i="5"/>
  <c r="L11" i="5"/>
  <c r="M11" i="5"/>
  <c r="N3" i="5"/>
  <c r="O3" i="5"/>
  <c r="P3" i="5"/>
  <c r="N4" i="5"/>
  <c r="O4" i="5"/>
  <c r="P4" i="5"/>
  <c r="N6" i="5"/>
  <c r="O6" i="5"/>
  <c r="P6" i="5"/>
  <c r="N7" i="5"/>
  <c r="O7" i="5"/>
  <c r="P7" i="5"/>
  <c r="N8" i="5"/>
  <c r="O8" i="5"/>
  <c r="P8" i="5"/>
  <c r="N9" i="5"/>
  <c r="O9" i="5"/>
  <c r="P9" i="5"/>
  <c r="N10" i="5"/>
  <c r="O10" i="5"/>
  <c r="P10" i="5"/>
  <c r="N11" i="5"/>
  <c r="O11" i="5"/>
  <c r="P11" i="5"/>
  <c r="W2" i="4"/>
  <c r="X2" i="4" s="1"/>
  <c r="W3" i="4"/>
  <c r="X3" i="4" s="1"/>
  <c r="W4" i="4"/>
  <c r="X4" i="4" s="1"/>
  <c r="W5" i="4"/>
  <c r="W6" i="4"/>
  <c r="X6" i="4" s="1"/>
  <c r="W7" i="4"/>
  <c r="W8" i="4"/>
  <c r="X8" i="4" s="1"/>
  <c r="W9" i="4"/>
  <c r="X9" i="4" s="1"/>
  <c r="W10" i="4"/>
  <c r="X10" i="4" s="1"/>
  <c r="W11" i="4"/>
  <c r="X11" i="4" s="1"/>
  <c r="W12" i="4"/>
  <c r="X12" i="4" s="1"/>
  <c r="W13" i="4"/>
  <c r="W14" i="4"/>
  <c r="X14" i="4" s="1"/>
  <c r="W15" i="4"/>
  <c r="X15" i="4" s="1"/>
  <c r="W16" i="4"/>
  <c r="W17" i="4"/>
  <c r="X17" i="4" s="1"/>
  <c r="W18" i="4"/>
  <c r="X18" i="4" s="1"/>
  <c r="W19" i="4"/>
  <c r="W20" i="4"/>
  <c r="X20" i="4" s="1"/>
  <c r="W21" i="4"/>
  <c r="W22" i="4"/>
  <c r="X22" i="4" s="1"/>
  <c r="W23" i="4"/>
  <c r="X23" i="4" s="1"/>
  <c r="W24" i="4"/>
  <c r="X24" i="4" s="1"/>
  <c r="W25" i="4"/>
  <c r="X25" i="4" s="1"/>
  <c r="W26" i="4"/>
  <c r="X26" i="4" s="1"/>
  <c r="W27" i="4"/>
  <c r="X27" i="4" s="1"/>
  <c r="W28" i="4"/>
  <c r="X28" i="4" s="1"/>
  <c r="W29" i="4"/>
  <c r="X29" i="4" s="1"/>
  <c r="W30" i="4"/>
  <c r="X30" i="4" s="1"/>
  <c r="W31" i="4"/>
  <c r="X31" i="4" s="1"/>
  <c r="W32" i="4"/>
  <c r="X32" i="4" s="1"/>
  <c r="W33" i="4"/>
  <c r="X33" i="4" s="1"/>
  <c r="W34" i="4"/>
  <c r="X34" i="4" s="1"/>
  <c r="W35" i="4"/>
  <c r="W36" i="4"/>
  <c r="X36" i="4" s="1"/>
  <c r="W37" i="4"/>
  <c r="X37" i="4" s="1"/>
  <c r="W38" i="4"/>
  <c r="X38" i="4" s="1"/>
  <c r="W39" i="4"/>
  <c r="X39" i="4" s="1"/>
  <c r="W40" i="4"/>
  <c r="X40" i="4" s="1"/>
  <c r="W41" i="4"/>
  <c r="X41" i="4" s="1"/>
  <c r="W42" i="4"/>
  <c r="X42" i="4" s="1"/>
  <c r="W43" i="4"/>
  <c r="W44" i="4"/>
  <c r="X44" i="4" s="1"/>
  <c r="W45" i="4"/>
  <c r="W46" i="4"/>
  <c r="X46" i="4" s="1"/>
  <c r="W47" i="4"/>
  <c r="X47" i="4" s="1"/>
  <c r="W48" i="4"/>
  <c r="X48" i="4" s="1"/>
  <c r="W49" i="4"/>
  <c r="X49" i="4" s="1"/>
  <c r="W50" i="4"/>
  <c r="X50" i="4" s="1"/>
  <c r="W51" i="4"/>
  <c r="X51" i="4" s="1"/>
  <c r="W52" i="4"/>
  <c r="W53" i="4"/>
  <c r="X53" i="4" s="1"/>
  <c r="W54" i="4"/>
  <c r="X54" i="4" s="1"/>
  <c r="W55" i="4"/>
  <c r="W56" i="4"/>
  <c r="X56" i="4" s="1"/>
  <c r="W57" i="4"/>
  <c r="W58" i="4"/>
  <c r="X58" i="4" s="1"/>
  <c r="W59" i="4"/>
  <c r="X60" i="4"/>
  <c r="X59" i="4"/>
  <c r="X57" i="4"/>
  <c r="X55" i="4"/>
  <c r="X52" i="4"/>
  <c r="X45" i="4"/>
  <c r="X43" i="4"/>
  <c r="X35" i="4"/>
  <c r="X21" i="4"/>
  <c r="X19" i="4"/>
  <c r="X16" i="4"/>
  <c r="X13" i="4"/>
  <c r="X7" i="4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G8" i="5"/>
  <c r="H8" i="5"/>
  <c r="I8" i="5"/>
  <c r="G9" i="5"/>
  <c r="H9" i="5"/>
  <c r="I9" i="5"/>
  <c r="G10" i="5"/>
  <c r="H10" i="5"/>
  <c r="I10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1" i="5"/>
  <c r="H31" i="5"/>
  <c r="I31" i="5"/>
  <c r="G32" i="5"/>
  <c r="H32" i="5"/>
  <c r="I32" i="5"/>
  <c r="G35" i="5"/>
  <c r="H35" i="5"/>
  <c r="I35" i="5"/>
  <c r="D2" i="4"/>
  <c r="D3" i="4"/>
  <c r="D4" i="4"/>
  <c r="D5" i="4"/>
  <c r="D6" i="4"/>
  <c r="D7" i="4"/>
  <c r="D8" i="4"/>
  <c r="D9" i="4"/>
  <c r="M32" i="5" s="1" a="1"/>
  <c r="M32" i="5" s="1"/>
  <c r="D10" i="4"/>
  <c r="D11" i="4"/>
  <c r="D12" i="4"/>
  <c r="D13" i="4"/>
  <c r="D14" i="4"/>
  <c r="D15" i="4"/>
  <c r="D16" i="4"/>
  <c r="D17" i="4"/>
  <c r="D18" i="4"/>
  <c r="D19" i="4"/>
  <c r="M29" i="5" s="1" a="1"/>
  <c r="M29" i="5" s="1"/>
  <c r="D20" i="4"/>
  <c r="D21" i="4"/>
  <c r="D22" i="4"/>
  <c r="D23" i="4"/>
  <c r="D24" i="4"/>
  <c r="D25" i="4"/>
  <c r="D26" i="4"/>
  <c r="D27" i="4"/>
  <c r="D28" i="4"/>
  <c r="D29" i="4"/>
  <c r="M34" i="5" s="1" a="1"/>
  <c r="M34" i="5" s="1"/>
  <c r="D30" i="4"/>
  <c r="M35" i="5" s="1" a="1"/>
  <c r="M35" i="5" s="1"/>
  <c r="D31" i="4"/>
  <c r="D32" i="4"/>
  <c r="D33" i="4"/>
  <c r="D34" i="4"/>
  <c r="D35" i="4"/>
  <c r="D36" i="4"/>
  <c r="D37" i="4"/>
  <c r="D38" i="4"/>
  <c r="M31" i="5" s="1" a="1"/>
  <c r="M31" i="5" s="1"/>
  <c r="D39" i="4"/>
  <c r="M33" i="5" s="1" a="1"/>
  <c r="M33" i="5" s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M27" i="5" s="1" a="1"/>
  <c r="M27" i="5" s="1"/>
  <c r="D53" i="4"/>
  <c r="D54" i="4"/>
  <c r="D55" i="4"/>
  <c r="M30" i="5" s="1" a="1"/>
  <c r="M30" i="5" s="1"/>
  <c r="D56" i="4"/>
  <c r="D57" i="4"/>
  <c r="D58" i="4"/>
  <c r="D59" i="4"/>
  <c r="M26" i="5" l="1" a="1"/>
  <c r="M26" i="5" s="1"/>
  <c r="M17" i="5" a="1"/>
  <c r="M17" i="5" s="1"/>
  <c r="M24" i="5" a="1"/>
  <c r="M24" i="5" s="1"/>
  <c r="B72" i="5"/>
  <c r="M20" i="5" a="1"/>
  <c r="M20" i="5" s="1"/>
  <c r="M25" i="5" a="1"/>
  <c r="M25" i="5" s="1"/>
  <c r="M16" i="5" a="1"/>
  <c r="M16" i="5" s="1"/>
  <c r="M21" i="5" a="1"/>
  <c r="M21" i="5" s="1"/>
  <c r="M18" i="5" a="1"/>
  <c r="M18" i="5" s="1"/>
  <c r="M22" i="5" a="1"/>
  <c r="M22" i="5" s="1"/>
  <c r="M19" i="5" a="1"/>
  <c r="M19" i="5" s="1"/>
  <c r="B43" i="5"/>
  <c r="M23" i="5" a="1"/>
  <c r="M23" i="5" s="1"/>
  <c r="V23" i="5"/>
  <c r="N5" i="5"/>
  <c r="M5" i="5"/>
  <c r="P5" i="5"/>
  <c r="X5" i="4"/>
  <c r="L5" i="5"/>
  <c r="O5" i="5"/>
  <c r="B45" i="5"/>
  <c r="B71" i="5"/>
  <c r="B44" i="5"/>
  <c r="B70" i="5"/>
  <c r="N49" i="5"/>
  <c r="G33" i="5"/>
  <c r="G30" i="5"/>
  <c r="I30" i="5"/>
  <c r="I33" i="5"/>
  <c r="H33" i="5"/>
  <c r="H30" i="5"/>
  <c r="G11" i="5"/>
  <c r="I11" i="5"/>
  <c r="H11" i="5"/>
  <c r="B21" i="5" l="1"/>
  <c r="B22" i="5"/>
  <c r="G34" i="5" l="1"/>
  <c r="G36" i="5" s="1"/>
  <c r="I34" i="5"/>
  <c r="H34" i="5"/>
  <c r="H36" i="5" s="1"/>
  <c r="I3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<sst xmlns="http://schemas.openxmlformats.org/spreadsheetml/2006/main" count="1139" uniqueCount="483">
  <si>
    <t>Title</t>
  </si>
  <si>
    <t>Title_URL</t>
  </si>
  <si>
    <t>Image</t>
  </si>
  <si>
    <t>https://www.amazon.com/ASUS-ROG-Strix-Gaming-Laptop/dp/B0DZZWMB2L/ref=sr_1_1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-1</t>
  </si>
  <si>
    <t>Acer Nitro V 16S AI Gaming Laptop | AMD Ryzen 7 260 Processor | NVIDIA GeForce RTX 5060 Laptop GPU (572 AI Tops) | 16" WUXGA IPS 180Hz Display | 32GB DDR5 | 1TB Gen 4 SSD | Wi-Fi 6 | ANV16S-41-R2AJ</t>
  </si>
  <si>
    <t>https://www.amazon.com/Gaming-Processor-GeForce-Display-ANV16S-41-R2AJ/dp/B0F195W823/ref=sr_1_2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-2</t>
  </si>
  <si>
    <t>https://aax-us-east-retail-direct.amazon.com/x/c/JMCHTnhL8umEpbEe6Zu91EEAAAGguZKT-wEAAAH2AQBvbm9fdHhuX2JpZDUgICBvbm9fdHhuX2ltcDIgICDSp6fG/clv1c_ek-YxPHTIsbQDZHyXAN0czJZ7dkYWTHQfUUaNL7cqruFGncTbjpkfliEOcR9kvNTvVUBPapguj3PY9ROEQsgaQ_2Ry8nv82qkGiPYM8bkDvZpnENiqsPdq2-_-wnqpLx1wBjP8D4A0tk0Hy4rqF3fzkVlI9GgBTrhhSwzyt6wA6fGm0ZNOBszNEcl-b_N1nGsC8mdMxjtI9ROB-dt0bZ4JLPjd4-T4lX8If2YPGNbyYraQGxO2J9s5esvhU14A7h5_Yl4EdpIcG6Kr3Kycha2SO70PRA5M8_uBHO7EgwyIsEYUIz4Vjhe-5yLYcqCwLN38I1W8fZ-YCFL6BtUSWO6-b4awLn6t6FMLi9Vex3Sje_s6zFVwJBJPoCrh4tH2Q5RHYFtcHmeWivuZp41r2YCAWg-pcN9FEtEM3PpRUrIVDd8NOE5l1Tmn2cZ9vWdPRN6qFGJu2KaPU29D0vHOEqbHHKGDuvL58o1oe8ccNDurFOT29ZGrbIHPdo1mLzjdnjiQms24r7GJZgb593LDS8jNSt5nSbrjtAdMl5XIsTvBUP3XG4mcEsjPL7jcdUhhZp4Z0jvsynB5BhaAxEMQHoiqtYus2MWm93ol3CqcQPg6J21w8PBMwUSzYj54oIY1dEyg2Jr2QPz23VHj9YcgghGGk-rdUju9wKEPofff_Bc-wG43HXrMctUj64DkKPG0F3-gToJFIyC-ZTy6FSDLm9lDDqTmFOn56B8xvtyeBJQ7h7wwzRYku0-3kiQ8NvRAr33x8ttKaGBMYBftRFs6a2reDRWf-Sk6cE84F7px8izROGYVLqzvxvOMi2I2Dr3P8agJ5NwX2SXshVMCrTX_ADQ6u5l5q3xnkgsxoBc8BB39gco86RK9v4-84G7Cqq3-Wez9zv2GgoI8TEiQnPM6R0ZVpI1QCDinln_91YDU5MEdz3U3JL9oLUBiWK8f5XIaiVp_PYA_eZ90Ip0vpYJTQS3E2-N7oXgQsDMMia9Au_-9aJZuTwmXRPP9zXByseC5qqld5iRsg_oQqUyaHw3_NrB4qtkBxKDxXoIRrDnym-k-pWL6_fQ-B12NR7yZLH1sSKRbSKyzNqrOhZyFXPN03lJ54y2__GO34g6KLA4m_4mEHheO6hNn1oVVCoTJQ3v1uyH_OyJbMlNDBborpbux1kVphgh2Ip4W56T7dOX69MBDPuEk6LpXQ9d1DB4RiHbchDusWH8_fSV87B3nNPPnxts9t24GudJ3e59CMsGsdODcCVIYybQTtkyn9MnUleH926evLedghO2sXNQ3KeFkPjf1g7dVm09R07z4a7Z5AywO9oaFQWNAO3QrUp6de4cSdqlhT6WU7lYza1-qjPLSBKg8xSMhSMTkwMdxI0m0n8aSR-SB2bS0c2jn_BC6y_y4IlrfjDiv7EXgyjAnlg1t6550z0tHc9RGKsDCcTqztoCbbV0PYAPmGoEqwcSUU0GgBitHUsCiR_U94KYwcrJvQJDWMmGFPze4OePIhkVku4LJv2OnORQXVSQUWlTWr-UpRElXjE5bu5JH6ZJALZikM5kypAZMMpvhoK6lZwdNcP3Byvpm5Kf_Q0tBNn1J-7_CeGPrNKe4sRHzoOF6PhGNZ_yay4Ais4Qxfzmh7A1rA2nQiRYJh26shOhsNAIMQJ0O36_RemHxmEoqAE0m3M3n8gqEwoyw/https://www.amazon.com/FUNYET-Computer-Processor-Keyboard-Business/dp/B0H4JHNJ4V/ref=sxin_15_sbv_search_btf?content-id=amzn1.sym.a120b15e-b9f5-458c-b2ab-4fe23ec1befc%3Aamzn1.sym.a120b15e-b9f5-458c-b2ab-4fe23ec1befc&amp;crid=3LC9VL11Q1Y6Z&amp;cv_ct_cx=gaming+laptops&amp;keywords=gaming+laptops&amp;pd_rd_i=B0H4JHNJ4V&amp;pd_rd_r=8add4ce2-b5e2-4bbd-b9a8-49698a5c6944&amp;pd_rd_w=z6Ku0&amp;pd_rd_wg=yoAue&amp;pf_rd_p=a120b15e-b9f5-458c-b2ab-4fe23ec1befc&amp;pf_rd_r=VZB2FV2SMZJTYGFZXGGY&amp;qid=1789819786&amp;sbo=9ZOMT9Jm0JH%2Ft%2BWi68iDSA%3D%3D&amp;sprefix=%2Caps%2C392&amp;sr=1-1-b8f34313-536f-475f-9207-a7c427a641c1</t>
  </si>
  <si>
    <t>KAIGERR Gaming Laptop, Laptop with AMD Ryzen 7430U(Up to 4.3GHz), 16GB DDR4 512GB SSD Laptop Computer, 1920P FHD Display, WiFi 6, USB3.2, Type_C, Webcam Cover Slide</t>
  </si>
  <si>
    <t>https://www.amazon.com/KAIGERR-Gaming-Laptop-Computer-Display/dp/B0HFSB44KN/ref=sr_1_4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-4</t>
  </si>
  <si>
    <t>https://m.media-amazon.com/images/I/71kEunh4iBL._AC_UY218_.jpg</t>
  </si>
  <si>
    <t>18.5 Inch Gaming Laptop with 7000 mAh Battery,AMD Ryzen 7430U UP to 4.3GHZ</t>
  </si>
  <si>
    <t>https://www.amazon.com/Gaming-Laptop-Battery-Ryzen-4-3GHZ/dp/B0HF3J55CY/ref=sr_1_6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-6</t>
  </si>
  <si>
    <t>https://m.media-amazon.com/images/I/715V4VP-nfL._AC_UY218_.jpg</t>
  </si>
  <si>
    <t>KAIGERR Gaming Laptop, 24GB DDR5 512GB NVMe SSD Laptop Computer with AMD Ryzen 7 H255(8C/16T, Up to 4.9GHz), 16.0 inch Windows 11 Laptop, Radeon RX Vega 8 Graphics,WiFi 6, Backlit KB</t>
  </si>
  <si>
    <t>https://www.amazon.com/KAIGERR-Computer-Windows-Graphics-Backlit/dp/B0HF7XD4VY/ref=sr_1_7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-7</t>
  </si>
  <si>
    <t>https://m.media-amazon.com/images/I/81m-bBjxVcL._AC_UY218_.jpg</t>
  </si>
  <si>
    <t>https://www.amazon.com/ASUS-Gaming-Laptop-Nebula-Display/dp/B0DW1X5YCQ/ref=sr_1_9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-9</t>
  </si>
  <si>
    <t>https://m.media-amazon.com/images/I/71WH7jtyWpL._AC_UY218_.jpg</t>
  </si>
  <si>
    <t>Razer Blade 16 (2026) Gaming Laptop, RTX 5070 Ti, 32GB DDR5, 1TB, Black</t>
  </si>
  <si>
    <t>https://www.amazon.com/Razer-Blade-Gaming-Laptop-Black/dp/B0H31TTZJT/ref=sr_1_10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-10</t>
  </si>
  <si>
    <t>https://m.media-amazon.com/images/I/719SQ1o+TSL._AC_UY218_.jpg</t>
  </si>
  <si>
    <t>https://www.amazon.com/ASUS-ROG-Strix-Gaming-Laptop/dp/B0H42CV8H7/ref=sr_1_11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-11</t>
  </si>
  <si>
    <t>https://m.media-amazon.com/images/I/81MIF+hN13L._AC_UY218_.jpg</t>
  </si>
  <si>
    <t>https://www.amazon.com/MALLRACE-Computer-Numeric-Graphics-15-6inch/dp/B0HFQSZZ26/ref=sr_1_12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-12</t>
  </si>
  <si>
    <t>https://m.media-amazon.com/images/I/71+KUy76p5L._AC_UY218_.jpg</t>
  </si>
  <si>
    <t>KAIGERR Gaming Laptop with AMD Ryzen 7430U(Up to 4.3GHz), 16GB DDR4 512GB SSD Laptop Computer, 1920P FHD Display, WiFi 6, USB3.2, Type_C, Webcam Cover Slide</t>
  </si>
  <si>
    <t>https://www.amazon.com/KAIGERR-Gaming-Laptop-Computer-Display/dp/B0H93H8V7J/ref=sr_1_13?crid=3LC9VL11Q1Y6Z&amp;dib=eyJ2IjoiMSJ9.U2f6tF7U4FXBlufzzxuXjnv_GdNqW7CiSoYDvSuongDXJWA625NT4G_HcCMR46-_8bO8rQDLwftxYPs9ljScRM_SbL8_cN8VvuCkUgnOvSOoHzDcdKKiOcdz1oG0PnxfJTbvu8TzfUsLExe1ajxbM3g_sTV4ZqFymj-480Or8qxXeNsikJI5RdR6NG_pfV_r6WfgdZpalTD-kYdJcPz9f5qE1Z09Dq84ivovAw8Fsr4.ve32C26LJDBbbUmFYHkl1TTlVlSujzPtZELPqGRBN1w&amp;dib_tag=se&amp;keywords=gaming+laptops&amp;qid=1789819786&amp;sprefix=%2Caps%2C392&amp;sr=8-13</t>
  </si>
  <si>
    <t>https://m.media-amazon.com/images/I/71yhKclypqL._AC_UY218_.jpg</t>
  </si>
  <si>
    <t>Acer Nitro V Gaming Laptop | Intel Core 5 Processor 210H | NVIDIA GeForce RTX 5050 Laptop GPU | 16" WUXGA IPS 165Hz Display | 8GB DDR5 | 512GB Gen 4 SSD | Wi-Fi 6 | Backlit Keyboard | ANV16-I31-54PT</t>
  </si>
  <si>
    <t>https://www.amazon.com/sspa/click?ie=UTF8&amp;spc=MToxMDM2NjU2NzcwMzIwNDU2OjE3ODk4MTk4ODc6c3BfYXRmX25leHQ6MzAxMzUxMjExOTI2ODAyOjowOjo&amp;url=%2FAcer-Processor-GeForce-Keyboard-ANV16-I31-54PT%2Fdp%2FB0CJCNL315%2Fref%3Dsr_1_17_sspa%3Fcrid%3D3LC9VL11Q1Y6Z%26dib%3D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%26dib_tag%3Dse%26keywords%3Dgaming%2Blaptops%26qid%3D1789819887%26sprefix%3D%252Caps%252C392%26sr%3D8-17-spons%26xpid%3DMMcXVFo9VX50C%26sp_csd%3Dd2lkZ2V0TmFtZT1zcF9hdGZfbmV4dA%26psc%3D1</t>
  </si>
  <si>
    <t>https://m.media-amazon.com/images/I/71iSm+PbylL._AC_UY218_.jpg</t>
  </si>
  <si>
    <t>https://m.media-amazon.com/images/I/61-I9ls9TuL._AC_UY218_.jpg</t>
  </si>
  <si>
    <t>https://www.amazon.com/Light-Gaming-Laptop-Ryzen-4-3GHz/dp/B0H6B6NH9Y/ref=sr_1_21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-21&amp;xpid=MMcXVFo9VX50C</t>
  </si>
  <si>
    <t>https://m.media-amazon.com/images/I/71D4xomw-wL._AC_UY218_.jpg</t>
  </si>
  <si>
    <t>https://www.amazon.com/MSI-Vector-240Hz-Gaming-Laptop/dp/B0DVDGRP1X/ref=sr_1_23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-23&amp;xpid=MMcXVFo9VX50C</t>
  </si>
  <si>
    <t>https://m.media-amazon.com/images/I/71wEDLLi83L._AC_UY218_.jpg</t>
  </si>
  <si>
    <t>https://www.amazon.com/sspa/click?ie=UTF8&amp;spc=MToxMDM2NjU2NzcwMzIwNDU2OjE3ODk4MTk4ODc6c3BfbXRmOjMwMTUzMzk0OTYyOTkwMjo6MDo6&amp;url=%2FGaming-Laptop-Battery-Ryzen-4-3GHZ%2Fdp%2FB0HF3J55CY%2Fref%3Dsr_1_27_sspa%3Fcrid%3D3LC9VL11Q1Y6Z%26dib%3D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%26dib_tag%3Dse%26keywords%3Dgaming%2Blaptops%26qid%3D1789819887%26sprefix%3D%252Caps%252C392%26sr%3D8-27-spons%26xpid%3DMMcXVFo9VX50C%26sp_csd%3Dd2lkZ2V0TmFtZT1zcF9tdGY%26psc%3D1</t>
  </si>
  <si>
    <t>dynabook Tecra A40-M 14" WUXGA Business Laptop, Intel Core Ultra 7 155U, 32GB DDR5, 1TB PCIe SSD, Windows 11 Pro, Wi-Fi 6E, Thunderbolt 4, 5MP AI Webcam, Fingerprint</t>
  </si>
  <si>
    <t>https://www.amazon.com/sspa/click?ie=UTF8&amp;spc=MToxMDM2NjU2NzcwMzIwNDU2OjE3ODk4MTk4ODc6c3BfbXRmOjMwMTQ4NjQyMTcwNTkwMjo6MDo6&amp;url=%2Fdynabook-A40-M-Business-Thunderbolt-Fingerprint%2Fdp%2FB0GT8T34V8%2Fref%3Dsr_1_28_sspa%3Fcrid%3D3LC9VL11Q1Y6Z%26dib%3D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%26dib_tag%3Dse%26keywords%3Dgaming%2Blaptops%26qid%3D1789819887%26sprefix%3D%252Caps%252C392%26sr%3D8-28-spons%26xpid%3DMMcXVFo9VX50C%26sp_csd%3Dd2lkZ2V0TmFtZT1zcF9tdGY%26psc%3D1</t>
  </si>
  <si>
    <t>https://m.media-amazon.com/images/I/61Qz-lvLf0L._AC_UY218_.jpg</t>
  </si>
  <si>
    <t>Gaming Laptop with AMD Ryzen 7 H255 (up to 4.9GHz),24GB DDR5 512GB NVMe SSD</t>
  </si>
  <si>
    <t>https://www.amazon.com/Gaming-Laptop-Ryzen-4-9GHz-512GB/dp/B0H4GDCQJF/ref=sr_1_29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-29&amp;xpid=MMcXVFo9VX50C</t>
  </si>
  <si>
    <t>https://m.media-amazon.com/images/I/71jdw6czCML._AC_UY218_.jpg</t>
  </si>
  <si>
    <t>https://www.amazon.com/Gaming-Laptop-Office-Windows-Laptops/dp/B0H947WPTC/ref=sr_1_33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-33&amp;xpid=MMcXVFo9VX50C</t>
  </si>
  <si>
    <t>https://m.media-amazon.com/images/I/711XuaEUR5L._AC_UY218_.jpg</t>
  </si>
  <si>
    <t>https://www.amazon.com/Lenovo-IdeaPad-Pro-5-2025-Display/dp/B0DTBFNLCJ/ref=sr_1_34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-34&amp;xpid=MMcXVFo9VX50C</t>
  </si>
  <si>
    <t>https://m.media-amazon.com/images/I/71kyi296+RL._AC_UY218_.jpg</t>
  </si>
  <si>
    <t>https://www.amazon.com/Lenovo-Legion-i7-14700HX-Display-165Hz-Rate-NVIDIA%C2%AE/dp/B0F6NRYPPG/ref=sr_1_35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-35&amp;xpid=MMcXVFo9VX50C</t>
  </si>
  <si>
    <t>https://m.media-amazon.com/images/I/81fcgC6vlsL._AC_UY218_.jpg</t>
  </si>
  <si>
    <t>https://www.amazon.com/Katana-15-6-165Hz-Gaming-Laptop/dp/B0DZFVBQLK/ref=sr_1_36?crid=3LC9VL11Q1Y6Z&amp;dib=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&amp;dib_tag=se&amp;keywords=gaming+laptops&amp;qid=1789819887&amp;sprefix=%2Caps%2C392&amp;sr=8-36&amp;xpid=MMcXVFo9VX50C</t>
  </si>
  <si>
    <t>https://m.media-amazon.com/images/I/71TvKdAmIjL._AC_UY218_.jpg</t>
  </si>
  <si>
    <t>https://www.amazon.com/sspa/click?ie=UTF8&amp;spc=MToxMDM2NjU2NzcwMzIwNDU2OjE3ODk4MTk4ODc6c3BfYnRmOjMwMTIzMDcxMjQ4MDYwMjo6MDo6&amp;url=%2FLenovo-Legion-AI-Powered-Gaming-Laptop%2Fdp%2FB0FY77GFRN%2Fref%3Dsr_1_37_sspa%3Fcrid%3D3LC9VL11Q1Y6Z%26dib%3D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%26dib_tag%3Dse%26keywords%3Dgaming%2Blaptops%26qid%3D1789819887%26sprefix%3D%252Caps%252C392%26sr%3D8-37-spons%26xpid%3DMMcXVFo9VX50C%26sp_csd%3Dd2lkZ2V0TmFtZT1zcF9idGY%26psc%3D1</t>
  </si>
  <si>
    <t>https://m.media-amazon.com/images/I/813oYBqM4GL._AC_UY218_.jpg</t>
  </si>
  <si>
    <t>https://www.amazon.com/sspa/click?ie=UTF8&amp;spc=MToxMDM2NjU2NzcwMzIwNDU2OjE3ODk4MTk4ODc6c3BfYnRmOjMwMTIyOTg3NDYxMjEwMjo6MDo6&amp;url=%2FLenovo-Legion-i7-14700HX-Display-165Hz-Rate-NVIDIA%25C2%25AE%2Fdp%2FB0F6NRYPPG%2Fref%3Dsr_1_38_sspa%3Fcrid%3D3LC9VL11Q1Y6Z%26dib%3DeyJ2IjoiMSJ9.ugoRDgk6CPUHAO-vuB2wI78pO390UDdb6RIU-aabDt5oU4otZYiGUnN6i_3bTOJjtcS38F6V6MAp5orniGxaedyNOGAYlDK7d99c9ucqP2kacaNCFHiHGfY9UEeOjwzul9iF8cSC9UucU8Gs5GLNy7FQ0V8OzIpdhNU--RElP62tW8GL2hHkxWv1CovRPUE2ikPC0MLd9pFvg58mnuxLOGLRhpXKRp64sVad5ICo7pE.-xmc_AxVrBglQX_RvSgqSLCabFYrz8FXomxgbbeGO4o%26dib_tag%3Dse%26keywords%3Dgaming%2Blaptops%26qid%3D1789819887%26sprefix%3D%252Caps%252C392%26sr%3D8-38-spons%26xpid%3DMMcXVFo9VX50C%26sp_csd%3Dd2lkZ2V0TmFtZT1zcF9idGY%26psc%3D1</t>
  </si>
  <si>
    <t>https://www.amazon.com/sspa/click?ie=UTF8&amp;spc=MToxODI5NDQwODUwMjE2MDg4OjE3ODk4MTk4ODc6c3Bfc2VhcmNoX3RoZW1hdGljX2J0ZjozMDEyMjk4NzQ2MTIxMDI6OjA6Og&amp;url=%2FLenovo-Legion-i7-14700HX-Display-165Hz-Rate-NVIDIA%25C2%25AE%2Fdp%2FB0F6NRYPPG%2Fref%3Dsxbs_pa_sp_search_thematic_btf_sspa%3Fcontent-id%3Damzn1.sym.265ca31e-ac46-48b3-bd6c-07361db7a8ba%253Aamzn1.sym.265ca31e-ac46-48b3-bd6c-07361db7a8ba%26crid%3D3LC9VL11Q1Y6Z%26cv_ct_cx%3Dgaming%2Blaptops%26keywords%3Dgaming%2Blaptops%26pd_rd_i%3DB0F6NRYPPG%26pd_rd_r%3Da7b5e169-358b-45a7-9b16-1af917f71ab6%26pd_rd_w%3DU7lOp%26pd_rd_wg%3DMGfGM%26pf_rd_p%3D265ca31e-ac46-48b3-bd6c-07361db7a8ba%26pf_rd_r%3DWWP4F11RP569E3J953MC%26qid%3D1789819887%26sbo%3DRZvfv%252F%252FHxDF%252BO5021pAnSA%253D%253D%26sprefix%3D%252Caps%252C392%26sr%3D1-17-4c3ee5d8-c4ea-4c3c-8cf4-b8be2ae560c7-spons%26xpid%3DMMcXVFo9VX50C%26aref%3DzOVuCtIHuO%26sp_csd%3Dd2lkZ2V0TmFtZT1zcF9zZWFyY2hfdGhlbWF0aWNfYnRm%26psc%3D1&amp;aref=zOVuCtIHuO</t>
  </si>
  <si>
    <t>https://www.amazon.com/msi-Crosshair-240Hz-Gaming-Laptop/dp/B0FRB5KC3P/ref=sr_1_35?crid=3LC9VL11Q1Y6Z&amp;dib=eyJ2IjoiMSJ9.n3cPJO3eToUpiiGQhSJpq1DgrcJQuDiB0lcqnXl3oK9Igynm3aoo5uUlYf3QXvYjlxofPhc5Ij-VN4HYFs6GN_y1BNGzHBA7pvHsBex6APE0RdpZryji9OuEJac6A2dgimh1Ivfg831Tn3hwVWflk-VBoJL4p2-YjarS0FSOOqVj6S8VLZTKd2GUpfD7n8-RcZxGc_D2khQBfuo8cX45U18VQCPm_0FxLC7z6BPzQmw.QsC7ZWgqPHRR_7XjhcBJY6kfvY52rUBOAISBfpejyo4&amp;dib_tag=se&amp;keywords=gaming+laptops&amp;qid=1789819977&amp;sprefix=%2Caps%2C392&amp;sr=8-35&amp;xpid=MMcXVFo9VX50C</t>
  </si>
  <si>
    <t>https://m.media-amazon.com/images/I/713DKBgz+2L._AC_UY218_.jpg</t>
  </si>
  <si>
    <t>https://www.amazon.com/ASUS-Strix-Gaming-Laptop-Nebula/dp/B0DW1WX8H2/ref=sr_1_39?crid=3LC9VL11Q1Y6Z&amp;dib=eyJ2IjoiMSJ9.n3cPJO3eToUpiiGQhSJpq1DgrcJQuDiB0lcqnXl3oK9Igynm3aoo5uUlYf3QXvYjlxofPhc5Ij-VN4HYFs6GN_y1BNGzHBA7pvHsBex6APE0RdpZryji9OuEJac6A2dgimh1Ivfg831Tn3hwVWflk-VBoJL4p2-YjarS0FSOOqVj6S8VLZTKd2GUpfD7n8-RcZxGc_D2khQBfuo8cX45U18VQCPm_0FxLC7z6BPzQmw.QsC7ZWgqPHRR_7XjhcBJY6kfvY52rUBOAISBfpejyo4&amp;dib_tag=se&amp;keywords=gaming+laptops&amp;qid=1789819977&amp;sprefix=%2Caps%2C392&amp;sr=8-39&amp;xpid=MMcXVFo9VX50C</t>
  </si>
  <si>
    <t>https://m.media-amazon.com/images/I/71GhOCogx0L._AC_UY218_.jpg</t>
  </si>
  <si>
    <t>https://www.amazon.com/ASUS-ROG-Strix-Gaming-Laptop/dp/B0FFJ16XQ9/ref=sr_1_45?crid=3LC9VL11Q1Y6Z&amp;dib=eyJ2IjoiMSJ9.n3cPJO3eToUpiiGQhSJpq1DgrcJQuDiB0lcqnXl3oK9Igynm3aoo5uUlYf3QXvYjlxofPhc5Ij-VN4HYFs6GN_y1BNGzHBA7pvHsBex6APE0RdpZryji9OuEJac6A2dgimh1Ivfg831Tn3hwVWflk-VBoJL4p2-YjarS0FSOOqVj6S8VLZTKd2GUpfD7n8-RcZxGc_D2khQBfuo8cX45U18VQCPm_0FxLC7z6BPzQmw.QsC7ZWgqPHRR_7XjhcBJY6kfvY52rUBOAISBfpejyo4&amp;dib_tag=se&amp;keywords=gaming+laptops&amp;qid=1789819977&amp;sprefix=%2Caps%2C392&amp;sr=8-45&amp;xpid=MMcXVFo9VX50C</t>
  </si>
  <si>
    <t>https://m.media-amazon.com/images/I/61LlFyN+B3L._AC_UY218_.jpg</t>
  </si>
  <si>
    <t>https://www.amazon.com/256GB-1920x1080-Traditional-Computers-Convertible/dp/B0GY39CQ5Z/ref=sr_1_46?crid=3LC9VL11Q1Y6Z&amp;dib=eyJ2IjoiMSJ9.n3cPJO3eToUpiiGQhSJpq1DgrcJQuDiB0lcqnXl3oK9Igynm3aoo5uUlYf3QXvYjlxofPhc5Ij-VN4HYFs6GN_y1BNGzHBA7pvHsBex6APE0RdpZryji9OuEJac6A2dgimh1Ivfg831Tn3hwVWflk-VBoJL4p2-YjarS0FSOOqVj6S8VLZTKd2GUpfD7n8-RcZxGc_D2khQBfuo8cX45U18VQCPm_0FxLC7z6BPzQmw.QsC7ZWgqPHRR_7XjhcBJY6kfvY52rUBOAISBfpejyo4&amp;dib_tag=se&amp;keywords=gaming+laptops&amp;qid=1789819977&amp;sprefix=%2Caps%2C392&amp;sr=8-46&amp;xpid=MMcXVFo9VX50C</t>
  </si>
  <si>
    <t>https://m.media-amazon.com/images/I/711rNCNDeBL._AC_UY218_.jpg</t>
  </si>
  <si>
    <t>https://www.amazon.com/processor-traditional-computers-Commuters-Professionals/dp/B0G6482YDW/ref=sr_1_50?crid=3LC9VL11Q1Y6Z&amp;dib=eyJ2IjoiMSJ9.IzCRMK29fcmFw9XuQ4yhl3H7VUIgI_nLILqZNTxU02S2A4igU5tVZ1mAC2liK8LTiAOOw8_HexSkhPWj88KFmpdjpsbXJfGKFAUOQuqPba22FTvaGg-Dp1XNLdaLJHBtnGgd6s7SsO6TF1YjInwpzyh-4dxGNg7I88kjBXNloiQqA3q1NPwrYUhJwIw9AJAxxgN6FoGcNNitc--qpQlfz0iKt91owt6KE6Azyzs_NBw.a0UvLC9HpKWQJVVL-AT38Rdtm3nC6Wg6IukFfcgvIrM&amp;dib_tag=se&amp;keywords=gaming+laptops&amp;qid=1789820054&amp;sprefix=%2Caps%2C392&amp;sr=8-50&amp;xpid=MMcXVFo9VX50C</t>
  </si>
  <si>
    <t>https://m.media-amazon.com/images/I/71iX2hcAunL._AC_UY218_.jpg</t>
  </si>
  <si>
    <t>https://www.amazon.com/ASUS-Gaming-Copilot-Laptop-WQXGA/dp/B0GPT6QPXL/ref=sr_1_52?crid=3LC9VL11Q1Y6Z&amp;dib=eyJ2IjoiMSJ9.IzCRMK29fcmFw9XuQ4yhl3H7VUIgI_nLILqZNTxU02S2A4igU5tVZ1mAC2liK8LTiAOOw8_HexSkhPWj88KFmpdjpsbXJfGKFAUOQuqPba22FTvaGg-Dp1XNLdaLJHBtnGgd6s7SsO6TF1YjInwpzyh-4dxGNg7I88kjBXNloiQqA3q1NPwrYUhJwIw9AJAxxgN6FoGcNNitc--qpQlfz0iKt91owt6KE6Azyzs_NBw.a0UvLC9HpKWQJVVL-AT38Rdtm3nC6Wg6IukFfcgvIrM&amp;dib_tag=se&amp;keywords=gaming+laptops&amp;qid=1789820054&amp;sprefix=%2Caps%2C392&amp;sr=8-52&amp;xpid=MMcXVFo9VX50C</t>
  </si>
  <si>
    <t>https://m.media-amazon.com/images/I/71GnmMYIu8L._AC_UY218_.jpg</t>
  </si>
  <si>
    <t>https://www.amazon.com/Lenovo-Legion-Gaming-GeForce-Windows/dp/B0FK453MMS/ref=sr_1_53?crid=3LC9VL11Q1Y6Z&amp;dib=eyJ2IjoiMSJ9.IzCRMK29fcmFw9XuQ4yhl3H7VUIgI_nLILqZNTxU02S2A4igU5tVZ1mAC2liK8LTiAOOw8_HexSkhPWj88KFmpdjpsbXJfGKFAUOQuqPba22FTvaGg-Dp1XNLdaLJHBtnGgd6s7SsO6TF1YjInwpzyh-4dxGNg7I88kjBXNloiQqA3q1NPwrYUhJwIw9AJAxxgN6FoGcNNitc--qpQlfz0iKt91owt6KE6Azyzs_NBw.a0UvLC9HpKWQJVVL-AT38Rdtm3nC6Wg6IukFfcgvIrM&amp;dib_tag=se&amp;keywords=gaming+laptops&amp;qid=1789820054&amp;sprefix=%2Caps%2C392&amp;sr=8-53&amp;xpid=MMcXVFo9VX50C</t>
  </si>
  <si>
    <t>https://m.media-amazon.com/images/I/515W50hwJmL._AC_UY218_.jpg</t>
  </si>
  <si>
    <t>https://www.amazon.com/ASUS-Nebula-Touchscreen-Convertible-Notebook/dp/B0FC34KFSP/ref=sr_1_55?crid=3LC9VL11Q1Y6Z&amp;dib=eyJ2IjoiMSJ9.IzCRMK29fcmFw9XuQ4yhl3H7VUIgI_nLILqZNTxU02S2A4igU5tVZ1mAC2liK8LTiAOOw8_HexSkhPWj88KFmpdjpsbXJfGKFAUOQuqPba22FTvaGg-Dp1XNLdaLJHBtnGgd6s7SsO6TF1YjInwpzyh-4dxGNg7I88kjBXNloiQqA3q1NPwrYUhJwIw9AJAxxgN6FoGcNNitc--qpQlfz0iKt91owt6KE6Azyzs_NBw.a0UvLC9HpKWQJVVL-AT38Rdtm3nC6Wg6IukFfcgvIrM&amp;dib_tag=se&amp;keywords=gaming+laptops&amp;qid=1789820054&amp;sprefix=%2Caps%2C392&amp;sr=8-55&amp;xpid=MMcXVFo9VX50C</t>
  </si>
  <si>
    <t>https://m.media-amazon.com/images/I/31qsZI1V8NL._AC_UY218_.jpg</t>
  </si>
  <si>
    <t>msi Vector 16" Gaming Laptop 2026,Core Ultra 7 255HX,GeForce RTX 5070 Ti</t>
  </si>
  <si>
    <t>https://www.amazon.com/msi-Vector-16-Gaming-GeForce/dp/B0HF4JTCPJ/ref=sr_1_59?crid=3LC9VL11Q1Y6Z&amp;dib=eyJ2IjoiMSJ9.IzCRMK29fcmFw9XuQ4yhl3H7VUIgI_nLILqZNTxU02S2A4igU5tVZ1mAC2liK8LTiAOOw8_HexSkhPWj88KFmpdjpsbXJfGKFAUOQuqPba22FTvaGg-Dp1XNLdaLJHBtnGgd6s7SsO6TF1YjInwpzyh-4dxGNg7I88kjBXNloiQqA3q1NPwrYUhJwIw9AJAxxgN6FoGcNNitc--qpQlfz0iKt91owt6KE6Azyzs_NBw.a0UvLC9HpKWQJVVL-AT38Rdtm3nC6Wg6IukFfcgvIrM&amp;dib_tag=se&amp;keywords=gaming+laptops&amp;qid=1789820054&amp;sprefix=%2Caps%2C392&amp;sr=8-59&amp;xpid=MMcXVFo9VX50C</t>
  </si>
  <si>
    <t>https://m.media-amazon.com/images/I/51efY0BXUiL._AC_UY218_.jpg</t>
  </si>
  <si>
    <t>https://www.amazon.com/Lenovo-Legion-5a-5060-15-3-250-32GB/dp/B0GNB91TWT/ref=sr_1_62?crid=3LC9VL11Q1Y6Z&amp;dib=eyJ2IjoiMSJ9.IzCRMK29fcmFw9XuQ4yhl3H7VUIgI_nLILqZNTxU02S2A4igU5tVZ1mAC2liK8LTiAOOw8_HexSkhPWj88KFmpdjpsbXJfGKFAUOQuqPba22FTvaGg-Dp1XNLdaLJHBtnGgd6s7SsO6TF1YjInwpzyh-4dxGNg7I88kjBXNloiQqA3q1NPwrYUhJwIw9AJAxxgN6FoGcNNitc--qpQlfz0iKt91owt6KE6Azyzs_NBw.a0UvLC9HpKWQJVVL-AT38Rdtm3nC6Wg6IukFfcgvIrM&amp;dib_tag=se&amp;keywords=gaming+laptops&amp;qid=1789820054&amp;sprefix=%2Caps%2C392&amp;sr=8-62&amp;xpid=MMcXVFo9VX50C</t>
  </si>
  <si>
    <t>https://m.media-amazon.com/images/I/71fO-xVnlKL._AC_UY218_.jpg</t>
  </si>
  <si>
    <t>https://www.amazon.com/Processor-Display-Computer-RadeonTM-Graphics/dp/B0H2VXLKN4/ref=sr_1_74?crid=3LC9VL11Q1Y6Z&amp;dib=eyJ2IjoiMSJ9.dwPtF6eJbyoWw8261cLcaI-W0s7trK145v-2Bn4RUzPRo5d1D1dOEUOSzF1UPXEM-a6B93MSc6XfDQANSuL14G9KfgWgYspCgI-ARBS-93fep4kwH6gZLdE_5Pky0Dt2Aakjyj2GPWAgPFT2Ao5zGYQFW1yvtxU7kHULSiAnL7x5XiYCrftGhEzszJtcHPLZkUD8sY17JFp6J_SY-3Rb1rkdUyM96H9jt2tU8NhkVq0.kqcgCMqoV4FzgOICsJ2fqgV4815gze9bJcHIUhHwUaM&amp;dib_tag=se&amp;keywords=gaming+laptops&amp;qid=1789820142&amp;sprefix=%2Caps%2C392&amp;sr=8-74&amp;xpid=MMcXVFo9VX50C</t>
  </si>
  <si>
    <t>https://m.media-amazon.com/images/I/712a4JLYAkL._AC_UY218_.jpg</t>
  </si>
  <si>
    <t>https://www.amazon.com/ASUS-Gaming-Laptop-GeForce-G615LW-AB96/dp/B0GYMN57R2/ref=sr_1_77?crid=3LC9VL11Q1Y6Z&amp;dib=eyJ2IjoiMSJ9.dwPtF6eJbyoWw8261cLcaI-W0s7trK145v-2Bn4RUzPRo5d1D1dOEUOSzF1UPXEM-a6B93MSc6XfDQANSuL14G9KfgWgYspCgI-ARBS-93fep4kwH6gZLdE_5Pky0Dt2Aakjyj2GPWAgPFT2Ao5zGYQFW1yvtxU7kHULSiAnL7x5XiYCrftGhEzszJtcHPLZkUD8sY17JFp6J_SY-3Rb1rkdUyM96H9jt2tU8NhkVq0.kqcgCMqoV4FzgOICsJ2fqgV4815gze9bJcHIUhHwUaM&amp;dib_tag=se&amp;keywords=gaming+laptops&amp;qid=1789820142&amp;sprefix=%2Caps%2C392&amp;sr=8-77&amp;xpid=MMcXVFo9VX50C</t>
  </si>
  <si>
    <t>https://m.media-amazon.com/images/I/81cKwDf1eVL._AC_UY218_.jpg</t>
  </si>
  <si>
    <t>https://www.amazon.com/NIAKUN-Gaming-Laptop-Computer-i5-7Y57/dp/B0H3ZBY622/ref=sr_1_78?crid=3LC9VL11Q1Y6Z&amp;dib=eyJ2IjoiMSJ9.dwPtF6eJbyoWw8261cLcaI-W0s7trK145v-2Bn4RUzPRo5d1D1dOEUOSzF1UPXEM-a6B93MSc6XfDQANSuL14G9KfgWgYspCgI-ARBS-93fep4kwH6gZLdE_5Pky0Dt2Aakjyj2GPWAgPFT2Ao5zGYQFW1yvtxU7kHULSiAnL7x5XiYCrftGhEzszJtcHPLZkUD8sY17JFp6J_SY-3Rb1rkdUyM96H9jt2tU8NhkVq0.kqcgCMqoV4FzgOICsJ2fqgV4815gze9bJcHIUhHwUaM&amp;dib_tag=se&amp;keywords=gaming+laptops&amp;qid=1789820142&amp;sprefix=%2Caps%2C392&amp;sr=8-78&amp;xpid=MMcXVFo9VX50C</t>
  </si>
  <si>
    <t>https://m.media-amazon.com/images/I/71RufC5lzzL._AC_UY218_.jpg</t>
  </si>
  <si>
    <t>https://www.amazon.com/sspa/click?ie=UTF8&amp;spc=MToyMTgwMTIwNTE1MDI2MDA1OjE3ODk4MjAyMzU6c3BfYXRmX25leHQ6MzAxNDgzNDI4NDY3NTAyOjowOjo&amp;url=%2FSamsung-Galaxy-Enterprise-Intel%25C2%25AE-CoreTM%2Fdp%2FB0H1D38ZFJ%2Fref%3Dsr_1_81_sspa%3Fcrid%3D3LC9VL11Q1Y6Z%26dib%3D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%26dib_tag%3Dse%26keywords%3Dgaming%2Blaptops%26qid%3D1789820235%26sprefix%3D%252Caps%252C392%26sr%3D8-81-spons%26xpid%3DMMcXVFo9VX50C%26sp_csd%3Dd2lkZ2V0TmFtZT1zcF9hdGZfbmV4dA%26psc%3D1</t>
  </si>
  <si>
    <t>https://www.amazon.com/sspa/click?ie=UTF8&amp;spc=MToyMTgwMTIwNTE1MDI2MDA1OjE3ODk4MjAyMzU6c3BfYXRmX25leHQ6MzAxNDg2NDIxNzA2MjAyOjowOjo&amp;url=%2Fdynabook-A45-M-1920x1200-Thunderbolt-Lightweight%2Fdp%2FB0GVPQNGS8%2Fref%3Dsr_1_82_sspa%3Fcrid%3D3LC9VL11Q1Y6Z%26dib%3D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%26dib_tag%3Dse%26keywords%3Dgaming%2Blaptops%26qid%3D1789820235%26sprefix%3D%252Caps%252C392%26sr%3D8-82-spons%26xpid%3DMMcXVFo9VX50C%26sp_csd%3Dd2lkZ2V0TmFtZT1zcF9hdGZfbmV4dA%26psc%3D1</t>
  </si>
  <si>
    <t>https://m.media-amazon.com/images/I/61-FPfLAjRL._AC_UY218_.jpg</t>
  </si>
  <si>
    <t>https://www.amazon.com/KAIGERR-Computer-15-6inch-Graphics-Creative/dp/B0HBQGPG9G/ref=sr_1_83?crid=3LC9VL11Q1Y6Z&amp;dib=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&amp;dib_tag=se&amp;keywords=gaming+laptops&amp;qid=1789820235&amp;sprefix=%2Caps%2C392&amp;sr=8-83&amp;xpid=MMcXVFo9VX50C</t>
  </si>
  <si>
    <t>https://m.media-amazon.com/images/I/718wTuNdAiL._AC_UY218_.jpg</t>
  </si>
  <si>
    <t>https://www.amazon.com/sspa/click?ie=UTF8&amp;spc=MToyMTgwMTIwNTE1MDI2MDA1OjE3ODk4MjAyMzU6c3BfbXRmOjMwMTM1MTIxMTkyNjgwMjo6MDo6&amp;url=%2FAcer-Processor-GeForce-Keyboard-ANV16-I31-54PT%2Fdp%2FB0CJCNL315%2Fref%3Dsr_1_91_sspa%3Fcrid%3D3LC9VL11Q1Y6Z%26dib%3D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%26dib_tag%3Dse%26keywords%3Dgaming%2Blaptops%26qid%3D1789820235%26sprefix%3D%252Caps%252C392%26sr%3D8-91-spons%26xpid%3DMMcXVFo9VX50C%26sp_csd%3Dd2lkZ2V0TmFtZT1zcF9tdGY%26psc%3D1</t>
  </si>
  <si>
    <t>https://www.amazon.com/sspa/click?ie=UTF8&amp;spc=MToyMTgwMTIwNTE1MDI2MDA1OjE3ODk4MjAyMzU6c3BfbXRmOjMwMTQ3NjM1MTcxODEwMjo6MDo6&amp;url=%2F18-5-Laptops-i9-512GB-WiFi-6%2Fdp%2FB0H5JP27XM%2Fref%3Dsr_1_92_sspa%3Fcrid%3D3LC9VL11Q1Y6Z%26dib%3D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%26dib_tag%3Dse%26keywords%3Dgaming%2Blaptops%26qid%3D1789820235%26sprefix%3D%252Caps%252C392%26sr%3D8-92-spons%26xpid%3DMMcXVFo9VX50C%26sp_csd%3Dd2lkZ2V0TmFtZT1zcF9tdGY%26psc%3D1</t>
  </si>
  <si>
    <t>https://m.media-amazon.com/images/I/81wzGDqYqaL._AC_UY218_.jpg</t>
  </si>
  <si>
    <t>https://m.media-amazon.com/images/I/71S8I2zpiLL._AC_UY218_.jpg</t>
  </si>
  <si>
    <t>https://www.amazon.com/sspa/click?ie=UTF8&amp;spc=MToyMTgwMTIwNTE1MDI2MDA1OjE3ODk4MjAyMzU6c3BfYnRmOjMwMTQ4Mzc0NjAwOTIwMjo6MDo6&amp;url=%2Fdynabook-X40-M-1920x1200-Lightweight-Thunderbolt%2Fdp%2FB0GVPKW5RG%2Fref%3Dsr_1_102_sspa%3Fcrid%3D3LC9VL11Q1Y6Z%26dib%3D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%26dib_tag%3Dse%26keywords%3Dgaming%2Blaptops%26qid%3D1789820235%26sprefix%3D%252Caps%252C392%26sr%3D8-102-spons%26xpid%3DMMcXVFo9VX50C%26sp_csd%3Dd2lkZ2V0TmFtZT1zcF9idGY%26psc%3D1</t>
  </si>
  <si>
    <t>https://m.media-amazon.com/images/I/61lF02eSTrL._AC_UY218_.jpg</t>
  </si>
  <si>
    <t>https://aax-us-east-retail-direct.amazon.com/x/c/JNXP8YFCPUBQkb0pDcDrinAAAAGguZlxMQEAAAH2AQBvbm9fdHhuX2JpZDUgICBvbm9fdHhuX2ltcDEgICAuK-bB/clv1c_ek-YxPfXZcbYDfXQf6TPiQcsbQ40oToZBbvdhiRZUPq5iJ1evq-W_TC3eZNopBzr6kU-rSe1pKQ_dANfUKNjo0Llf4PbyTLuf8QzcI01aXE5IpPbLimBeJxohTogtTZBV5obpdgto__SIEHiWD836JMVq0K53jXqktxQzj_KiA7fG24DB8TdD8mDPCRvcHJWVSv2aux1NsPKofIdt0PV-O6eed-_r63GkJdSjB293aDQkxu4uANttxaZTBM0NQhg53Yq4cdpDw83qQ3t2R496Np1YIhophi_TlqwsS4h9JQjn8IX3xEnzLRE2xvOt9Yry65NT2z-iAS1lXEKWzx5BW-hyqpo0RQVen3DnYxtPXDTZ2s76QgVzQYSX9Ub1-w6DsI87g3y8R1oddkbCBD9SnMfzy7-EqdaLXP1BpWpzN24GQYXuoT9Fm21JZdQkn3eJJicX-ity_N9SZjFWnNjJWnGCQzT9SOgbFrCrEMzW-XN9SmDSKZMjAoNF_e5lBAVzsF_0MieiR60uJCAy27yxx8XfUDXhO_NIgEzIJT0_2SkbOf96JskEra5dyOHZW2MfghwF-43sz7-1DPrTV9h-dtOHjAMtBzUiYc_NjtuED1r0iRDW9TUdjbDx4IKf1hGmxT7v4B5e0cJ-fNClAghGHk6zNWhIa3l22bcRJ1_f_fCtrNtbutwap21eFx4f7twxMzpNFLSiPpTIR6n6QLnCUWVroeOCubS0anx673_j3BRsfXV5vImQ3WmgEAdCSvDkWHNItmb5OJarbKAbO2LhG95EdjX1IIbBihMmzDGDAaMXPHMnej0BNcgGHdpy5Ii87qQE_v_CEkbJp1H1AnR5k9SmNsT8qMbp1qqB9ppIDOglYdDubJ7M7EQQQYVwFwH9LwCvJDgjJ6mGteY2Qlg0lRMySZT1Ao2JsMWf1eld8XIkrS6scJBWCj0Jnnw541fkgqwx1MtWqWZdC0inwKeuYApuGWKE5fFEDMt2ex7XLjovZO_Wx56xjke6gfT8-EWg7nCrGYaZAbPneSgUXoYLdogVZGvxQIc2jYvYKo-4ZE4KuUVH27P3G37cW3a4FPjaSO4BgU0nxdRFfbDTfRo3Juj8h4QoV42ygiAcTI_reyLKr4EhUuUGtInBdgER1cL8pVt6r26AnED_MW9qhQFVolXmZGnMsp1jQ3Wl9UEu-mo5zmltsPNj0NagqdkTQJjTu5HLbCyAVrT2UTfbDGrwACZtrIge8sMCSPWMCr-wfRP955oGzUgk4gBDaaNz_GxkXx6EW0bR3hYZsU5-1pGQOS5eaYcsfX15k1af8jmNmq5SEzgUf5mxHU5kSCvSgsyIB1eepxHIIvSWik_sjcuhoq8ApQRhcKd92z-Lrub64ehCHQQeqY3Fq1RjkKa05PjF1UGQbVcnFymHNj0t8yT4XF2dLeitvloPHghyOeE7H3pu1nC5HyPm7RlDhUljDp8dRUo3kq0gUjYEQ2EKX4Iv0u9_YZaGJI5aukoLlQsI4wPYBfZzpG1qqvO-4UCUQZ3Oj8L6z27KMYq6D5IrPuxhnFcT85chxPWH3IxmEiVioUm-V32xYIqL6WSgvkXKzipht-DgliZLUrkTzpKux2vgO6zWolqSR-hBhb4ZwniHP3Y_3tuw_kIUYfVHgpwk5Yg2zsUdBp-_FNw7ol8GYJCPNzfXZKKU3uB/https://www.amazon.com/FUNYET-Computer-Processor-Keyboard-Business/dp/B0H4JHNJ4V/ref=sxbs_sbv_search_btf?content-id=amzn1.sym.2e5c46b0-593b-4bfb-83b8-c1fdea85a728%3Aamzn1.sym.2e5c46b0-593b-4bfb-83b8-c1fdea85a728&amp;crid=3LC9VL11Q1Y6Z&amp;cv_ct_cx=gaming+laptops&amp;keywords=gaming+laptops&amp;pd_rd_i=B0H4JHNJ4V&amp;pd_rd_r=6923d531-fbb7-45cc-b68d-d443b5e176bb&amp;pd_rd_w=PtNxy&amp;pd_rd_wg=BvQYq&amp;pf_rd_p=2e5c46b0-593b-4bfb-83b8-c1fdea85a728&amp;pf_rd_r=36CAJJF0FRG77TKT7YBN&amp;qid=1789820235&amp;sbo=9ZOMT9Jm0JH%2Ft%2BWi68iDSA%3D%3D&amp;sprefix=%2Caps%2C392&amp;sr=1-81-87d802af-7e04-446f-94d1-b3797e6a400c&amp;xpid=MMcXVFo9VX50C</t>
  </si>
  <si>
    <t>https://www.amazon.com/ASUS-ROG-Strix-Gaming-Laptop/dp/B0FGQW5J21/ref=sr_1_99?crid=3LC9VL11Q1Y6Z&amp;dib=eyJ2IjoiMSJ9.PLJq9iqyI_wGVxx-T4oFEwnGyZE_k5pXIi9a05-jMbntKXcg1DmH4gx-QEHvbYd0BQxhci1k3obNMxLBEEp3xP2Q9yKMX6-LIgXTdz2RvCRv_uCkkEDMJoUqpk0axdel89LniOFU0-pFFx5ZOJP1yJVsuWl4U-uEZKIuU71qBAp8CMaxXb6I0ChVziv5jb1utz6QYDJ55GG35DmKdp2Sh1mLDg9Ou92lZ7H32lubrmw.JENTxaWg_6-HihcfBjS1-pOJmsi8wEuYL_YdBfRhfQQ&amp;dib_tag=se&amp;keywords=gaming+laptops&amp;qid=1789820299&amp;sprefix=%2Caps%2C392&amp;sr=8-99&amp;xpid=MMcXVFo9VX50C</t>
  </si>
  <si>
    <t>https://m.media-amazon.com/images/I/71aUQ0pgYGL._AC_UY218_.jpg</t>
  </si>
  <si>
    <t>https://www.amazon.com/FUNYET-Computer-Warranty-Backlit-Keyboard/dp/B0H1LG825P/ref=sr_1_101?crid=3LC9VL11Q1Y6Z&amp;dib=eyJ2IjoiMSJ9.PLJq9iqyI_wGVxx-T4oFEwnGyZE_k5pXIi9a05-jMbntKXcg1DmH4gx-QEHvbYd0BQxhci1k3obNMxLBEEp3xP2Q9yKMX6-LIgXTdz2RvCRv_uCkkEDMJoUqpk0axdel89LniOFU0-pFFx5ZOJP1yJVsuWl4U-uEZKIuU71qBAp8CMaxXb6I0ChVziv5jb1utz6QYDJ55GG35DmKdp2Sh1mLDg9Ou92lZ7H32lubrmw.JENTxaWg_6-HihcfBjS1-pOJmsi8wEuYL_YdBfRhfQQ&amp;dib_tag=se&amp;keywords=gaming+laptops&amp;qid=1789820299&amp;sprefix=%2Caps%2C392&amp;sr=8-101&amp;xpid=MMcXVFo9VX50C</t>
  </si>
  <si>
    <t>https://m.media-amazon.com/images/I/71J7jWR1v8L._AC_UY218_.jpg</t>
  </si>
  <si>
    <t>Alienware 15 Gaming Laptop, RTX 4050, Intel Core 7 240H, Windows 11 Home</t>
  </si>
  <si>
    <t>https://www.amazon.com/Alienware-Gaming-Laptop-Intel-Windows/dp/B0H5M2WZYC/ref=sr_1_106?crid=3LC9VL11Q1Y6Z&amp;dib=eyJ2IjoiMSJ9.PLJq9iqyI_wGVxx-T4oFEwnGyZE_k5pXIi9a05-jMbntKXcg1DmH4gx-QEHvbYd0BQxhci1k3obNMxLBEEp3xP2Q9yKMX6-LIgXTdz2RvCRv_uCkkEDMJoUqpk0axdel89LniOFU0-pFFx5ZOJP1yJVsuWl4U-uEZKIuU71qBAp8CMaxXb6I0ChVziv5jb1utz6QYDJ55GG35DmKdp2Sh1mLDg9Ou92lZ7H32lubrmw.JENTxaWg_6-HihcfBjS1-pOJmsi8wEuYL_YdBfRhfQQ&amp;dib_tag=se&amp;keywords=gaming+laptops&amp;qid=1789820299&amp;sprefix=%2Caps%2C392&amp;sr=8-106&amp;xpid=MMcXVFo9VX50C</t>
  </si>
  <si>
    <t>https://m.media-amazon.com/images/I/6118aJlxSfL._AC_UY218_.jpg</t>
  </si>
  <si>
    <t>https://www.amazon.com/ASUS-Strix-Gaming-Laptop-Nebula/dp/B0DW29H85Z/ref=sr_1_113?crid=3LC9VL11Q1Y6Z&amp;dib=eyJ2IjoiMSJ9.Nl3KqH_RE4UiWXnH5fM80KpzAVbfZsa9Qqfm-t2vXNX1wH2RCreqSkdp5QWPaphLzr2qIKVYrrbuap1VYOM_Ng1BYg58jhNUpTcbAGg5dNHAkEjlt8bnCoYHpRRVAGvQuSOUTJmlO1sXgk7WpsuLqPAc7ZL3hZg9PwMR6cBDFYX9vBqV4pNyJnWdPZ07VoPv9Sne9NysmyyJmAoyfgT2Ygs1FonTXPWMS9YUyjKHELg.Vj2sTqmXvNTfmGPgVHVSudJe75G9JtBieR4851d7lXQ&amp;dib_tag=se&amp;keywords=gaming+laptops&amp;qid=1789820374&amp;sprefix=%2Caps%2C392&amp;sr=8-113&amp;xpid=MMcXVFo9VX50C</t>
  </si>
  <si>
    <t>https://www.amazon.com/AKCHART-Laptop-Office-256GB-Laptops/dp/B0H94LG15F/ref=sr_1_115?crid=3LC9VL11Q1Y6Z&amp;dib=eyJ2IjoiMSJ9.Nl3KqH_RE4UiWXnH5fM80KpzAVbfZsa9Qqfm-t2vXNX1wH2RCreqSkdp5QWPaphLzr2qIKVYrrbuap1VYOM_Ng1BYg58jhNUpTcbAGg5dNHAkEjlt8bnCoYHpRRVAGvQuSOUTJmlO1sXgk7WpsuLqPAc7ZL3hZg9PwMR6cBDFYX9vBqV4pNyJnWdPZ07VoPv9Sne9NysmyyJmAoyfgT2Ygs1FonTXPWMS9YUyjKHELg.Vj2sTqmXvNTfmGPgVHVSudJe75G9JtBieR4851d7lXQ&amp;dib_tag=se&amp;keywords=gaming+laptops&amp;qid=1789820374&amp;sprefix=%2Caps%2C392&amp;sr=8-115&amp;xpid=MMcXVFo9VX50C</t>
  </si>
  <si>
    <t>https://m.media-amazon.com/images/I/714TSHAAQrL._AC_UY218_.jpg</t>
  </si>
  <si>
    <t>Acer Nitro V Gaming Laptop | Intel Core i5-13420H Processor | NVIDIA GeForce RTX 4050 Laptop GPU | 15.6" FHD IPS 165Hz Display | 8GB DDR5 | 512GB Gen 4 SSD | Wi-Fi 6 | Backlit KB | ANV15-52-586Z</t>
  </si>
  <si>
    <t>https://www.amazon.com/i5-13420H-Processor-GeForce-Display-ANV15-52-586Z/dp/B0F5KTGDS9/ref=sr_1_117?crid=3LC9VL11Q1Y6Z&amp;dib=eyJ2IjoiMSJ9.Nl3KqH_RE4UiWXnH5fM80KpzAVbfZsa9Qqfm-t2vXNX1wH2RCreqSkdp5QWPaphLzr2qIKVYrrbuap1VYOM_Ng1BYg58jhNUpTcbAGg5dNHAkEjlt8bnCoYHpRRVAGvQuSOUTJmlO1sXgk7WpsuLqPAc7ZL3hZg9PwMR6cBDFYX9vBqV4pNyJnWdPZ07VoPv9Sne9NysmyyJmAoyfgT2Ygs1FonTXPWMS9YUyjKHELg.Vj2sTqmXvNTfmGPgVHVSudJe75G9JtBieR4851d7lXQ&amp;dib_tag=se&amp;keywords=gaming+laptops&amp;qid=1789820374&amp;sprefix=%2Caps%2C392&amp;sr=8-117&amp;xpid=MMcXVFo9VX50C</t>
  </si>
  <si>
    <t>https://m.media-amazon.com/images/I/71gXelI8upL._AC_UY218_.jpg</t>
  </si>
  <si>
    <t>https://www.amazon.com/msi-Stealth-240Hz-Gaming-Laptop/dp/B0GVPSK8M7/ref=sr_1_119?crid=3LC9VL11Q1Y6Z&amp;dib=eyJ2IjoiMSJ9.Nl3KqH_RE4UiWXnH5fM80KpzAVbfZsa9Qqfm-t2vXNX1wH2RCreqSkdp5QWPaphLzr2qIKVYrrbuap1VYOM_Ng1BYg58jhNUpTcbAGg5dNHAkEjlt8bnCoYHpRRVAGvQuSOUTJmlO1sXgk7WpsuLqPAc7ZL3hZg9PwMR6cBDFYX9vBqV4pNyJnWdPZ07VoPv9Sne9NysmyyJmAoyfgT2Ygs1FonTXPWMS9YUyjKHELg.Vj2sTqmXvNTfmGPgVHVSudJe75G9JtBieR4851d7lXQ&amp;dib_tag=se&amp;keywords=gaming+laptops&amp;qid=1789820374&amp;sprefix=%2Caps%2C392&amp;sr=8-119&amp;xpid=MMcXVFo9VX50C</t>
  </si>
  <si>
    <t>https://m.media-amazon.com/images/I/71UUyEKL46L._AC_UY218_.jpg</t>
  </si>
  <si>
    <t>https://www.amazon.com/sspa/click?ie=UTF8&amp;spc=MTo3NjUwODg3NDYxODQwODY1OjE3ODk4MjA0NTU6c3BfYXRmX25leHQ6MzAxNTMwNjQyODI2NDAyOjowOjo&amp;url=%2FNAIKLULU-Computer-M3-6Y30-Processor-Business%2Fdp%2FB0GY8JG1P1%2Fref%3Dsr_1_129_sspa%3Fcrid%3D3LC9VL11Q1Y6Z%26dib%3DeyJ2IjoiMSJ9.LSv-OUROLwDziXtNdnRjzdGh-s6by15B6m6ILEe4J7eTX8nS08tZ_bjbYuIqz0uI0XPooMvCqusmsILFxCL6hcLqv1IBpLLr99uOwpGtDm5pwhAFJDZpUYBj17yFte_82YCaW9Df3U2H22EzWIjrS5hU7PnxPB_ofY5xAcTHGAMMFkjDNhtG2ikgJHFKAHDGKi9uWulyLI4V6CZ2t_9Li0osS7n8qon5C9nBp_zAbag.Pma76vspx2yJzGC-K0-pnxDiPgLufxE8f8SBAZdxRR0%26dib_tag%3Dse%26keywords%3Dgaming%2Blaptops%26qid%3D1789820455%26sprefix%3D%252Caps%252C392%26sr%3D8-129-spons%26xpid%3DMMcXVFo9VX50C%26sp_csd%3Dd2lkZ2V0TmFtZT1zcF9hdGZfbmV4dA%26psc%3D1</t>
  </si>
  <si>
    <t>https://m.media-amazon.com/images/I/71owJtHwgEL._AC_UY218_.jpg</t>
  </si>
  <si>
    <t>msi Titan 18 HX AI 18" 240Hz MiniLED UHD+ Gaming Laptop: Intel Ultra 9-290HX, NVIDIA Geforce RTX 5090, 64GB DDR5, 4TB NVMe SSD, Thunderbolt 5, Wi-Fi 7, Win 11 Pro: Black A2WJ-1258US</t>
  </si>
  <si>
    <t>https://www.amazon.com/msi-Titan-MiniLED-Gaming-Laptop/dp/B0GXWWNG6F/ref=sr_1_134?crid=3LC9VL11Q1Y6Z&amp;dib=eyJ2IjoiMSJ9.LSv-OUROLwDziXtNdnRjzdGh-s6by15B6m6ILEe4J7eTX8nS08tZ_bjbYuIqz0uI0XPooMvCqusmsILFxCL6hcLqv1IBpLLr99uOwpGtDm5pwhAFJDZpUYBj17yFte_82YCaW9Df3U2H22EzWIjrS5hU7PnxPB_ofY5xAcTHGAMMFkjDNhtG2ikgJHFKAHDGKi9uWulyLI4V6CZ2t_9Li0osS7n8qon5C9nBp_zAbag.Pma76vspx2yJzGC-K0-pnxDiPgLufxE8f8SBAZdxRR0&amp;dib_tag=se&amp;keywords=gaming+laptops&amp;qid=1789820455&amp;sprefix=%2Caps%2C392&amp;sr=8-134&amp;xpid=MMcXVFo9VX50C</t>
  </si>
  <si>
    <t>https://m.media-amazon.com/images/I/712N6JcMQeL._AC_UY218_.jpg</t>
  </si>
  <si>
    <t>https://www.amazon.com/ASUS-Gaming-Laptop-144Hz-IPS-Level/dp/B0F1BZQ7G5/ref=sr_1_135?crid=3LC9VL11Q1Y6Z&amp;dib=eyJ2IjoiMSJ9.LSv-OUROLwDziXtNdnRjzdGh-s6by15B6m6ILEe4J7eTX8nS08tZ_bjbYuIqz0uI0XPooMvCqusmsILFxCL6hcLqv1IBpLLr99uOwpGtDm5pwhAFJDZpUYBj17yFte_82YCaW9Df3U2H22EzWIjrS5hU7PnxPB_ofY5xAcTHGAMMFkjDNhtG2ikgJHFKAHDGKi9uWulyLI4V6CZ2t_9Li0osS7n8qon5C9nBp_zAbag.Pma76vspx2yJzGC-K0-pnxDiPgLufxE8f8SBAZdxRR0&amp;dib_tag=se&amp;keywords=gaming+laptops&amp;qid=1789820455&amp;sprefix=%2Caps%2C392&amp;sr=8-135&amp;xpid=MMcXVFo9VX50C</t>
  </si>
  <si>
    <t>https://m.media-amazon.com/images/I/71ZEi4fMrzL._AC_UY218_.jpg</t>
  </si>
  <si>
    <t>200W Laptop Charger Compatible with ASUS ROG Strix G15 G17 G513 G713 G733</t>
  </si>
  <si>
    <t>https://www.amazon.com/sspa/click?ie=UTF8&amp;spc=MTo3NjUwODg3NDYxODQwODY1OjE3ODk4MjA0NTU6c3BfbXRmOjMwMTQ1OTI2MzEzNjEwMjo6MDo6&amp;url=%2FCharger-Compatible-Zephyrus-Zenbook-ADP-200JB%2Fdp%2FB0FNWTV8PW%2Fref%3Dsr_1_139_sspa%3Fcrid%3D3LC9VL11Q1Y6Z%26dib%3DeyJ2IjoiMSJ9.LSv-OUROLwDziXtNdnRjzdGh-s6by15B6m6ILEe4J7eTX8nS08tZ_bjbYuIqz0uI0XPooMvCqusmsILFxCL6hcLqv1IBpLLr99uOwpGtDm5pwhAFJDZpUYBj17yFte_82YCaW9Df3U2H22EzWIjrS5hU7PnxPB_ofY5xAcTHGAMMFkjDNhtG2ikgJHFKAHDGKi9uWulyLI4V6CZ2t_9Li0osS7n8qon5C9nBp_zAbag.Pma76vspx2yJzGC-K0-pnxDiPgLufxE8f8SBAZdxRR0%26dib_tag%3Dse%26keywords%3Dgaming%2Blaptops%26qid%3D1789820455%26sprefix%3D%252Caps%252C392%26sr%3D8-139-spons%26xpid%3DMMcXVFo9VX50C%26sp_csd%3Dd2lkZ2V0TmFtZT1zcF9tdGY%26psc%3D1</t>
  </si>
  <si>
    <t>https://m.media-amazon.com/images/I/71dLAiQsRIL._AC_UY218_.jpg</t>
  </si>
  <si>
    <t>https://www.amazon.com/MELIUNA-15-6-Laptop-Office-128GB/dp/B0HG9P3CJT/ref=sr_1_148?crid=3LC9VL11Q1Y6Z&amp;dib=eyJ2IjoiMSJ9.LSv-OUROLwDziXtNdnRjzdGh-s6by15B6m6ILEe4J7eTX8nS08tZ_bjbYuIqz0uI0XPooMvCqusmsILFxCL6hcLqv1IBpLLr99uOwpGtDm5pwhAFJDZpUYBj17yFte_82YCaW9Df3U2H22EzWIjrS5hU7PnxPB_ofY5xAcTHGAMMFkjDNhtG2ikgJHFKAHDGKi9uWulyLI4V6CZ2t_9Li0osS7n8qon5C9nBp_zAbag.Pma76vspx2yJzGC-K0-pnxDiPgLufxE8f8SBAZdxRR0&amp;dib_tag=se&amp;keywords=gaming+laptops&amp;qid=1789820455&amp;sprefix=%2Caps%2C392&amp;sr=8-148&amp;xpid=MMcXVFo9VX50C</t>
  </si>
  <si>
    <t>https://m.media-amazon.com/images/I/711KQJBO1aL._AC_UY218_.jpg</t>
  </si>
  <si>
    <t>Reviewers</t>
  </si>
  <si>
    <t xml:space="preserve">Rating </t>
  </si>
  <si>
    <t>Color</t>
  </si>
  <si>
    <t>Processor</t>
  </si>
  <si>
    <t>Operating System</t>
  </si>
  <si>
    <t>Features</t>
  </si>
  <si>
    <t>Graphics</t>
  </si>
  <si>
    <t>ASUS</t>
  </si>
  <si>
    <t>ROG Strix G16</t>
  </si>
  <si>
    <t>Eclipse Gray</t>
  </si>
  <si>
    <t>Core i7</t>
  </si>
  <si>
    <t>Windows 11 Home</t>
  </si>
  <si>
    <t>Dedicated</t>
  </si>
  <si>
    <t>Acer</t>
  </si>
  <si>
    <t>Acer Nitro V 16S AI</t>
  </si>
  <si>
    <t>Black</t>
  </si>
  <si>
    <t>Ryzen 7</t>
  </si>
  <si>
    <t>Jaegar Gray</t>
  </si>
  <si>
    <t>Ryzen 9</t>
  </si>
  <si>
    <t>Windows 11 Pro</t>
  </si>
  <si>
    <t>Backlit Keyboard</t>
  </si>
  <si>
    <t>Integrated</t>
  </si>
  <si>
    <t>KAIGERR</t>
  </si>
  <si>
    <t>LX16PRO</t>
  </si>
  <si>
    <t>Sophisticated Grey</t>
  </si>
  <si>
    <t>AMD R Series</t>
  </si>
  <si>
    <t>Windows 11</t>
  </si>
  <si>
    <t>Lenovo</t>
  </si>
  <si>
    <t>MALLRACE</t>
  </si>
  <si>
    <t>AX18-7430U</t>
  </si>
  <si>
    <t>Matte Grey</t>
  </si>
  <si>
    <t>Ryzen 5</t>
  </si>
  <si>
    <t>S16</t>
  </si>
  <si>
    <t>Newest Grey</t>
  </si>
  <si>
    <t>AMD Ryzen 7</t>
  </si>
  <si>
    <t>msi</t>
  </si>
  <si>
    <t>Gray</t>
  </si>
  <si>
    <t>Intel Core Ultra 9</t>
  </si>
  <si>
    <t>Razer</t>
  </si>
  <si>
    <t>Blade 16</t>
  </si>
  <si>
    <t>Core i9</t>
  </si>
  <si>
    <t>RTX 5070 Ti</t>
  </si>
  <si>
    <t>G615JHR-DS53</t>
  </si>
  <si>
    <t>Core i5</t>
  </si>
  <si>
    <t>LX15PRO</t>
  </si>
  <si>
    <t>NIMO</t>
  </si>
  <si>
    <t>Intel Core 7</t>
  </si>
  <si>
    <t>Nice Medium Gray</t>
  </si>
  <si>
    <t>Vector A18 HX A9WIG-065US</t>
  </si>
  <si>
    <t>RTX 5080</t>
  </si>
  <si>
    <t>RTX 4050</t>
  </si>
  <si>
    <t>Lead Gray</t>
  </si>
  <si>
    <t>Alienware</t>
  </si>
  <si>
    <t>CHIFUYOU</t>
  </si>
  <si>
    <t>IdeaPad Pro 5</t>
  </si>
  <si>
    <t>Luna Grey</t>
  </si>
  <si>
    <t>OLED 120Hz Display</t>
  </si>
  <si>
    <t>Legion 5i</t>
  </si>
  <si>
    <t>Eclipse Black</t>
  </si>
  <si>
    <t>Katana 15 HX B14WGK-016US</t>
  </si>
  <si>
    <t>RTX 5070</t>
  </si>
  <si>
    <t>Crosshair A16 HX D8WFKG-090US</t>
  </si>
  <si>
    <t>RTX 5060</t>
  </si>
  <si>
    <t>ROG Strix SCAR 18</t>
  </si>
  <si>
    <t>Strix G16</t>
  </si>
  <si>
    <t>4.6 GHz</t>
  </si>
  <si>
    <t>Tunhail</t>
  </si>
  <si>
    <t>UL153</t>
  </si>
  <si>
    <t>Celeron N4000</t>
  </si>
  <si>
    <t>YOZISUAN</t>
  </si>
  <si>
    <t>M3 8100Y</t>
  </si>
  <si>
    <t>Black and Silver</t>
  </si>
  <si>
    <t>Core m3-8100Y</t>
  </si>
  <si>
    <t>Tuf Gaming A14</t>
  </si>
  <si>
    <t>Ryzen AI Max</t>
  </si>
  <si>
    <t>ROG Flow Z13</t>
  </si>
  <si>
    <t>Off Black</t>
  </si>
  <si>
    <t>Portable</t>
  </si>
  <si>
    <t>Vector 16</t>
  </si>
  <si>
    <t>Cosmo Gray</t>
  </si>
  <si>
    <t>Intel Core Ultra 7</t>
  </si>
  <si>
    <t>Legion 5a</t>
  </si>
  <si>
    <t>NVIDIA GeForce RTX 5070</t>
  </si>
  <si>
    <t>Cool Gray</t>
  </si>
  <si>
    <t>AMD</t>
  </si>
  <si>
    <t>G615LW-AB96</t>
  </si>
  <si>
    <t>NIAKUN</t>
  </si>
  <si>
    <t>Silver</t>
  </si>
  <si>
    <t>38.5 watt-hours</t>
  </si>
  <si>
    <t>Lightweight Gray</t>
  </si>
  <si>
    <t>NVIDIA GeForce RTX 4050</t>
  </si>
  <si>
    <t>SAGAWHALE</t>
  </si>
  <si>
    <t>AMD Ryzen 7 6800H</t>
  </si>
  <si>
    <t>Dedicated, Integrated</t>
  </si>
  <si>
    <t>Strix G18</t>
  </si>
  <si>
    <t>FUNYET</t>
  </si>
  <si>
    <t>4.7 GHz</t>
  </si>
  <si>
    <t>Dell Alienware Da15260 Gaming Laptop</t>
  </si>
  <si>
    <t>RGB Fans</t>
  </si>
  <si>
    <t>AKCHART</t>
  </si>
  <si>
    <t>M156FH</t>
  </si>
  <si>
    <t>Light Gray</t>
  </si>
  <si>
    <t>Celeron</t>
  </si>
  <si>
    <t>Nitro V</t>
  </si>
  <si>
    <t>Stealth 16 AI+ B3WH-036US</t>
  </si>
  <si>
    <t>Intel Core 9</t>
  </si>
  <si>
    <t>RTX 5070Ti</t>
  </si>
  <si>
    <t>FX607VU-DS73</t>
  </si>
  <si>
    <t>Mecha Gray</t>
  </si>
  <si>
    <t>NVIDIA GeForce RTX 5050</t>
  </si>
  <si>
    <t>Gaming</t>
  </si>
  <si>
    <t>AMD Ryzen 7 6800H Processor</t>
  </si>
  <si>
    <t>Intel Core 5 Processor 210H</t>
  </si>
  <si>
    <t>AMD Ryzen 7430U UP to 4</t>
  </si>
  <si>
    <t>dynabook</t>
  </si>
  <si>
    <t>Tecra A40-M 14" WUXGA Business</t>
  </si>
  <si>
    <t>Intel Core Ultra 7 155U</t>
  </si>
  <si>
    <t>Legion LOQ AI-Powered</t>
  </si>
  <si>
    <t>Grey</t>
  </si>
  <si>
    <t>Intel Core i7-13650HX</t>
  </si>
  <si>
    <t>G-Sync | IPS</t>
  </si>
  <si>
    <t>GeForce RTX 5050</t>
  </si>
  <si>
    <t>Intel Core i7-14700HX - 15</t>
  </si>
  <si>
    <t>OLED</t>
  </si>
  <si>
    <t>IPS</t>
  </si>
  <si>
    <t>Samsung</t>
  </si>
  <si>
    <t>Galaxy Book6 Enterprise Edition 14.0"</t>
  </si>
  <si>
    <t>Intel Core Ultra 5 325</t>
  </si>
  <si>
    <t>AMD Ryzen 5 220</t>
  </si>
  <si>
    <t>Intel Core Ultra 5 225U</t>
  </si>
  <si>
    <t>Wi-Fi 7 | Thunderbolt 4</t>
  </si>
  <si>
    <t>NAIKLULU</t>
  </si>
  <si>
    <t>Laptop</t>
  </si>
  <si>
    <t>Win 11 Pro</t>
  </si>
  <si>
    <t>WIFI5</t>
  </si>
  <si>
    <t>17.3" Light</t>
  </si>
  <si>
    <t>AMD Ryzen 7 7735HS</t>
  </si>
  <si>
    <t>Light</t>
  </si>
  <si>
    <t>AMD Ryzen 7 8745HS</t>
  </si>
  <si>
    <t>Display Resolution</t>
  </si>
  <si>
    <t>CPU Speed</t>
  </si>
  <si>
    <t>GPU Model</t>
  </si>
  <si>
    <t>Connectivity</t>
  </si>
  <si>
    <t>Display Type</t>
  </si>
  <si>
    <t>FHD</t>
  </si>
  <si>
    <t>NVIDIA GeForce RTX 5060</t>
  </si>
  <si>
    <t>Wi-Fi 7</t>
  </si>
  <si>
    <t>FHD+</t>
  </si>
  <si>
    <t>WUXGA</t>
  </si>
  <si>
    <t>Wi-Fi 6</t>
  </si>
  <si>
    <t>WiFi 5</t>
  </si>
  <si>
    <t>Up to 4.3GHz</t>
  </si>
  <si>
    <t>WiFi 6 | USB3.2</t>
  </si>
  <si>
    <t>UP to 4.3GHZ</t>
  </si>
  <si>
    <t>7000 mAh</t>
  </si>
  <si>
    <t>Up to 4.9GHz</t>
  </si>
  <si>
    <t>Radeon RX Vega 8 Graphics</t>
  </si>
  <si>
    <t>WiFi 6</t>
  </si>
  <si>
    <t>2.5K</t>
  </si>
  <si>
    <t>NVIDIA GeForce RTX 5070 Ti</t>
  </si>
  <si>
    <t>up to 4.3GHz</t>
  </si>
  <si>
    <t>Radeon Graphics</t>
  </si>
  <si>
    <t>QHD</t>
  </si>
  <si>
    <t>NVIDIA Geforce RTX 5080</t>
  </si>
  <si>
    <t>QHD+</t>
  </si>
  <si>
    <t>Wi-Fi 6E | Thunderbolt 4</t>
  </si>
  <si>
    <t>up to 4.9GHz</t>
  </si>
  <si>
    <t>2880 x 1800</t>
  </si>
  <si>
    <t>NVIDIA GeForce RTX5050</t>
  </si>
  <si>
    <t>WQXGA</t>
  </si>
  <si>
    <t>NVIDIA Geforce RTX 5070</t>
  </si>
  <si>
    <t>Wi-Fi 6E | USB-C</t>
  </si>
  <si>
    <t>NVIDIA GeForce RTX 5090</t>
  </si>
  <si>
    <t>HDMI</t>
  </si>
  <si>
    <t>up to 3.40GHz</t>
  </si>
  <si>
    <t>Wi-Fi 6E</t>
  </si>
  <si>
    <t>RTX 5090</t>
  </si>
  <si>
    <t>GeForce RTX 5070 Ti</t>
  </si>
  <si>
    <t>AMD Radeon Graphics</t>
  </si>
  <si>
    <t>WiFi 6 | HDMI</t>
  </si>
  <si>
    <t>NVIDIA GeForce RTX 5080</t>
  </si>
  <si>
    <t>Up to 4.5GHz</t>
  </si>
  <si>
    <t>Up to 4.8 GHz</t>
  </si>
  <si>
    <t>up to 4.7GHz</t>
  </si>
  <si>
    <t>NVIDIA Geforce RTX 5070Ti</t>
  </si>
  <si>
    <t>5000mAh</t>
  </si>
  <si>
    <t>UHD</t>
  </si>
  <si>
    <t>NVIDIA Geforce RTX 5090</t>
  </si>
  <si>
    <t>Wi-Fi 7 | Thunderbolt 5</t>
  </si>
  <si>
    <t>4.9GHz</t>
  </si>
  <si>
    <t>Not Provided</t>
  </si>
  <si>
    <t>ROG Nebula Display | Tri-Fan Technology</t>
  </si>
  <si>
    <t>Backlit Keyboard | Numeric Keypad</t>
  </si>
  <si>
    <t>Lightweight | Numeric Keypad | Webcam Cover</t>
  </si>
  <si>
    <t>Backlit Keyboard | High Performance | Lightweight | Numeric Keypad</t>
  </si>
  <si>
    <t>Anti Glare Coating | Backlit Keyboard | Wifi</t>
  </si>
  <si>
    <t>Lightweight | Numeric Keypad</t>
  </si>
  <si>
    <t>laptop | laptop computer | light gaming laptop</t>
  </si>
  <si>
    <t>Backlit Keyboard | Fingerprint Reader</t>
  </si>
  <si>
    <t>24GB DDR5 512GB SSD | AMD Radeon 780M | AMD Ryzen7 H255 4.9GHz | Backlit Keyboard | HDMI 2.0</t>
  </si>
  <si>
    <t>Anti Glare Coating | Backlit Keyboard | HD Audio | Lightweight | Numeric Keypad</t>
  </si>
  <si>
    <t>Backlit Keyboard | HD Audio | Wifi</t>
  </si>
  <si>
    <t>Backlit Keyboard | HD Audio</t>
  </si>
  <si>
    <t>AniMe Vision | ROG Intelligent Cooling | ROG Nebula HDR Display | Tool-Less Access</t>
  </si>
  <si>
    <t>Anti Glare Coating | Backlit Keyboard | HD Audio | Numeric Keypad</t>
  </si>
  <si>
    <t>OLED Display | High Refresh Rate</t>
  </si>
  <si>
    <t>Numeric Keypad | Webcam Cover</t>
  </si>
  <si>
    <t>Anti Glare Coating | Backlit Keyboard</t>
  </si>
  <si>
    <t>High Performance | Lightweight | Multifunctional | Numeric Keypad</t>
  </si>
  <si>
    <t>Backlit Keyboard | HD Audio | Webcam | Wifi</t>
  </si>
  <si>
    <t>Backlit Keyboard | Fingerprint Reader | HD Audio | Lightweight | Numeric Keypad | Integrated</t>
  </si>
  <si>
    <t>Full Price (PKR)</t>
  </si>
  <si>
    <t xml:space="preserve"> Delivery Charges (PKR)</t>
  </si>
  <si>
    <t>Storage (GB)</t>
  </si>
  <si>
    <t>FUNYET Gaming Laptop,Window 11 Pro Laptop Computer, 15.6 Inch Lap Top PC 2026, AMD Ryzen 7 6800H Processor,24GB DDR5  1TB SSD, FHD Display,WiFi 5,BT5.0,Backlit Keyboard,Office 365 for Business,Work</t>
  </si>
  <si>
    <t>MALLRACE Gaming Laptop,16GB  512GB SSD Laptop Computer with Numeric KB,AMD Ryzen 5 7430U (Beat Intel i7-1255,up to 4.3GHz), Radeon Graphics,15.6inch FHD Display AMD Laptop,Type_C,WiFi 6</t>
  </si>
  <si>
    <t>Gaming Laptop 2026,Office &amp; Windows 11 Pro Laptops with 16GB  512GB SSD</t>
  </si>
  <si>
    <t>Intel Core i7-7600U 16GB +1TB SSD</t>
  </si>
  <si>
    <t>Gaming laptop Core processor (up to 3.40GHz) 16GB  512GB SSD,traditional laptop computers 15.6 Inch FHD Display 1920*1080,with WIFI BT 5.0 Lap top-For Students/Commuters/Business Professionals</t>
  </si>
  <si>
    <t>NIAKUN 17.3" Gaming Laptop Computer, 16GB  512GB SSD, Core i5-7Y57</t>
  </si>
  <si>
    <t>KAIGERR Gaming Laptop, 1TB NVMe SSD 16GB  Laptop Computer with AMD Ryzen 7 5825U(8C/16T, Up to 4.5GHz), 15.6inch Windows 11 Laptop, Radeon RX Vega 8 Graphics,WiFi 6 for Creative &amp; Business</t>
  </si>
  <si>
    <t>18.5 Inch Laptops, Core i9 CPU (Up to 4.8 GHz), 16GB , 512GB SSD, WiFi-6</t>
  </si>
  <si>
    <t>2026 15.6" FHD Gaming Laptop, AMD Ryzen 7 6800H(up to 4.7GHz), 24GB , 1TB NVMe SSD, Windows 11 Pro Laptop Computer with Backlit Keyboard, 6 Ports for Gaming, Progming, Video Editing</t>
  </si>
  <si>
    <t>https://www.amazon.com/Windows-Computer-Backlit-Keyboard-Progming/dp/B0HCC5KZ2H/ref=sr_1_100?crid=3LC9VL11Q1Y6Z&amp;dib=eyJ2IjoiMSJ9.hU4Y04UoGRU3adCfFRM0stFlSQ4UDolqxorWMWhZjDyjeMo5Yr8P-QXJ8eMXsjXL1Suz68KyhQ7RrQk-JDNc90jN00wuKx_vkmdFWmeNGHOVexnxw1m0fI_Dyp9Rg4Ihk6YYlhgTrOS2SfrzXWzY0n73fRoMEzWtOHjE0oyzbyn_8n1gsLMue0YepRCzbqedsCscKPfmEbc02efLN0CmnTxpy0htOu1LMLm5jS1h4-s.S0SnMdqzReM1GDwro9ekXipYY1gqNgOOt-62g0QosKs&amp;dib_tag=se&amp;keywords=gaming+laptops&amp;qid=1789820235&amp;sprefix=%2Caps%2C392&amp;sr=8-100&amp;xpid=MMcXVFo9VX50C</t>
  </si>
  <si>
    <t>https://www.amazon.com/Windows-Computer-Backlit-Keyboard-Progming/dp/B0HCC5KZ2H/ref=sr_1_98?crid=3LC9VL11Q1Y6Z&amp;dib=eyJ2IjoiMSJ9.PLJq9iqyI_wGVxx-T4oFEwnGyZE_k5pXIi9a05-jMbntKXcg1DmH4gx-QEHvbYd0BQxhci1k3obNMxLBEEp3xP2Q9yKMX6-LIgXTdz2RvCRv_uCkkEDMJoUqpk0axdel89LniOFU0-pFFx5ZOJP1yJVsuWl4U-uEZKIuU71qBAp8CMaxXb6I0ChVziv5jb1utz6QYDJ55GG35DmKdp2Sh1mLDg9Ou92lZ7H32lubrmw.JENTxaWg_6-HihcfBjS1-pOJmsi8wEuYL_YdBfRhfQQ&amp;dib_tag=se&amp;keywords=gaming+laptops&amp;qid=1789820299&amp;sprefix=%2Caps%2C392&amp;sr=8-98&amp;xpid=MMcXVFo9VX50C</t>
  </si>
  <si>
    <t>FUNYET 2026 Gaming Laptop, 15.6 Inch Laptop Computer Window 11 Pro, 24GB  1TB SSD, AMD Ryzen 7 6800H(up to 4.7GHz), 2-Year Warranty, FHD 1920 * 1080, Backlit Keyboard for Gaming, Video Editing</t>
  </si>
  <si>
    <t>15.6'' AI Laptop with Office 365 12GB  256GB SSD Win 11 Laptops</t>
  </si>
  <si>
    <t>NAIKLULU Laptop Computer, Win 11 Pro Lap Top, 15.6 Inch Laptop PC 2026, 16GB  256GB SSD, M3-6Y30 Processor, FHD Display 1920 * 1080P, WIFI5, BT4.2, 5000mAh Battery, for School Business Student</t>
  </si>
  <si>
    <t xml:space="preserve">NIMO 17.3" Light Gaming Laptop, AMD Ryzen 7 7735HS, 16GB DDR5 512GB </t>
  </si>
  <si>
    <t>18.5 inch laptop | 7000mAh Large Battery | AMD Ryzen 7430U | HD Audio |  Card Slot | 7000 mAh</t>
  </si>
  <si>
    <t>Lenovo IdeaPad Pro 5-2025 - 16" OLED 2880 x 1800 120Hz Display - 16GB  - 1 TB Storage - Ryzen AI 7 350 - NVIDIA GeForce RTX5050 - Windows 11 Home - Luna Grey</t>
  </si>
  <si>
    <t>Lenovo Legion LOQ AI-Powered Gaming Laptop - Intel Core i7-13650HX, 15.6" FHD IPS 144Hz Display, GeForce RTX 5050, 16GB , 1TB Storage, G-Sync, Luna Grey</t>
  </si>
  <si>
    <t>Privacy Camera | Portable |  Card Slot</t>
  </si>
  <si>
    <t>Quad-Channel Unified  Design</t>
  </si>
  <si>
    <t>Lenovo Legion 5a - 2026 - Gaming Laptop - NVIDIA GeForce RTX 5060-15.3" OLED WQXGA Display - 165Hz Refresh Rate - Ryzen 7 250-32GB  - 1TB Storage - Eclipse Black</t>
  </si>
  <si>
    <t>HD Audio | Lightweight |  Card Slot | Numeric Keypad</t>
  </si>
  <si>
    <t>Backlit Keyboard | Office 365 | DDR5</t>
  </si>
  <si>
    <t>Backlit Keyboard | IPS | DDR5</t>
  </si>
  <si>
    <t>Wi-Fi 6 | 5MP AI Webcam | DDR5</t>
  </si>
  <si>
    <t>AI Copilot | DDR5</t>
  </si>
  <si>
    <t>3.17 lb | DDR5</t>
  </si>
  <si>
    <t>DDR5</t>
  </si>
  <si>
    <t>Screen Size (Inches)</t>
  </si>
  <si>
    <t>RAM (GB)</t>
  </si>
  <si>
    <t>Refresh Rate (Hz)</t>
  </si>
  <si>
    <t>Discounted Price (PKR)</t>
  </si>
  <si>
    <t xml:space="preserve">Discount Percentage(%) </t>
  </si>
  <si>
    <t>29-09-2026</t>
  </si>
  <si>
    <t>Minimum Delivery Date</t>
  </si>
  <si>
    <t>Maximum Delivery Date</t>
  </si>
  <si>
    <t>28-09-2026</t>
  </si>
  <si>
    <t xml:space="preserve">Intel NPU | Vapor Chamber Cooling | Windows Hello | Wi-Fi 7 | 90 WHr | CNC Milled Aluminum | THX Spatial Audio | Pluton Security Processor | Kensington Security Slot | TPM 2.0 | Anodized Black Finish | Thunderbolt 5 and Thunderbolt 4 Ready </t>
  </si>
  <si>
    <t>Laptop Category</t>
  </si>
  <si>
    <t>NY-19</t>
  </si>
  <si>
    <t>Brand Name</t>
  </si>
  <si>
    <t xml:space="preserve">Variable </t>
  </si>
  <si>
    <t xml:space="preserve">Type </t>
  </si>
  <si>
    <t>Description</t>
  </si>
  <si>
    <t xml:space="preserve">Brand Name </t>
  </si>
  <si>
    <t xml:space="preserve">Screen Size </t>
  </si>
  <si>
    <t xml:space="preserve">RAM </t>
  </si>
  <si>
    <t xml:space="preserve">Storage </t>
  </si>
  <si>
    <t xml:space="preserve">Reviewers </t>
  </si>
  <si>
    <t xml:space="preserve">Full Price </t>
  </si>
  <si>
    <t xml:space="preserve">Discounted Price </t>
  </si>
  <si>
    <t xml:space="preserve">Discount Percentage </t>
  </si>
  <si>
    <t xml:space="preserve">Delivery Charges </t>
  </si>
  <si>
    <t xml:space="preserve">Processor </t>
  </si>
  <si>
    <t xml:space="preserve">GPU Model </t>
  </si>
  <si>
    <t xml:space="preserve">Operating System </t>
  </si>
  <si>
    <t xml:space="preserve">Categorical </t>
  </si>
  <si>
    <t xml:space="preserve">Numerical </t>
  </si>
  <si>
    <t xml:space="preserve">Laptop Manufacturer Company </t>
  </si>
  <si>
    <t xml:space="preserve">Laptop Model </t>
  </si>
  <si>
    <t xml:space="preserve">Gaming/Normal Use /Office </t>
  </si>
  <si>
    <t xml:space="preserve">Screen Size In Inches </t>
  </si>
  <si>
    <t>RAM capacity in GB</t>
  </si>
  <si>
    <t xml:space="preserve">Storage Capacity in GB </t>
  </si>
  <si>
    <t xml:space="preserve">Customer Ratings </t>
  </si>
  <si>
    <t xml:space="preserve">Number of Rating Customers </t>
  </si>
  <si>
    <t xml:space="preserve">Orignal Price </t>
  </si>
  <si>
    <t xml:space="preserve">Current Price </t>
  </si>
  <si>
    <t xml:space="preserve">Percentage of Discount Applied </t>
  </si>
  <si>
    <t xml:space="preserve">Charges to Deliver the Product </t>
  </si>
  <si>
    <t xml:space="preserve">CPU Type </t>
  </si>
  <si>
    <t xml:space="preserve">GPU </t>
  </si>
  <si>
    <t xml:space="preserve">OS working </t>
  </si>
  <si>
    <t>Metric</t>
  </si>
  <si>
    <t>Non-hidden</t>
  </si>
  <si>
    <t>Hidden</t>
  </si>
  <si>
    <t>Total</t>
  </si>
  <si>
    <t>Total Rows (including header)</t>
  </si>
  <si>
    <t>Total Data Rows (excluding header)</t>
  </si>
  <si>
    <t>Total Columns</t>
  </si>
  <si>
    <t>No</t>
  </si>
  <si>
    <t>Subtotal</t>
  </si>
  <si>
    <t>Yes</t>
  </si>
  <si>
    <t>Laptop Model</t>
  </si>
  <si>
    <t>Variables</t>
  </si>
  <si>
    <t>Hidden/Not Hidden</t>
  </si>
  <si>
    <t xml:space="preserve"># of Missing Values </t>
  </si>
  <si>
    <t xml:space="preserve">Total Values </t>
  </si>
  <si>
    <t>Missing Percentage(%)</t>
  </si>
  <si>
    <t>DATA DICTIONARY</t>
  </si>
  <si>
    <t>DATA QUALITY ANALYSIS</t>
  </si>
  <si>
    <t xml:space="preserve">Rating(0-5) </t>
  </si>
  <si>
    <t>ASUS ROG Strix G16 (2025) Gaming Laptop, 16" FHD+ 16:10 165Hz/3ms, NVIDIA® GeForce RTX™ 5060, Intel® Core™ i7 Processor 14650HX, 16GB DDR5, 1TB Gen 4 SSD, Wi-Fi 7, Windows 11 Home, G615JMR-AS74</t>
  </si>
  <si>
    <t>ASUS ROG Strix G16 (2025) Gaming Laptop, 16" ROG Nebula 16:10 2.5K 240Hz/3ms, NVIDIA® GeForce RTX™ 5070 Ti, Intel® Core™ Ultra 9 Processor 275HX, 32GB DDR5, 1TB SSD, Wi-Fi 7, Win11 Home, G615LR-AS96</t>
  </si>
  <si>
    <t>ASUS ROG Strix G16 Gaming Laptop, 16" 16:10 FHD+ 165Hz/3ms, NVIDIA GeForce RTX 5050 Laptop GPU, Intel Core i5 Processor 14450HX, 16GB DDR5-5600, 512GB PCIe Gen 4 SSD, Wi-Fi 7, Win11 Home, G615JHR-DS53</t>
  </si>
  <si>
    <t>AMD Radeon™ Graphics</t>
  </si>
  <si>
    <t>Light Gaming Laptop, AMD Ryzen 7430U (Up to 4.3GHz), 16GB  512GB SSD</t>
  </si>
  <si>
    <t>msi Vector A18 HX 18" 240Hz QHD+ Gaming Laptop: AMD Ryzen 9-9955HX, NVIDIA Geforce RTX 5080, 32GB DDR5, 1TB NVMe SSD, Type C, Wi-Fi 7, Win 11 Home: Cosmo Gray A9WIG-065US</t>
  </si>
  <si>
    <t>Lenovo Legion 5i – Gaming Laptop - Intel® Core™ i7-14700HX - 15" 2.5K WQXGA PureSight OLED Display–165Hz Refresh Rate–NVIDIA® GeForce RTX™ 5070 – 16 GB  – 1 TB Storage – 3 Months of PC GamePass</t>
  </si>
  <si>
    <t>msi Katana 15 HX 15.6" 165Hz QHD+ Gaming Laptop: Intel Core i9-14900HX, NVIDIA Geforce RTX 5070, 32GB DDR5, 1TB NVMe SSD, RGB Keyboard, Win 11 Home: Black B14WGK-016US</t>
  </si>
  <si>
    <t>Legion 5i –</t>
  </si>
  <si>
    <t>msi Crosshair A16 HX 16" QHD+ 240Hz Gaming Laptop – AMD Ryzen 9 8940HX, NVIDIA GeForce RTX 5060, 16GB DDR5, 1TB NVMe SSD, Wi-Fi 6E, USB-C, Windows 11 D8WFKG-090US</t>
  </si>
  <si>
    <t>ASUS ROG Strix SCAR 18 (2025) Gaming Laptop, 18" ROG Nebula HDR 16:10 2.5K 240Hz/3ms, NVIDIA GeForce RTX 5090, Intel Core Ultra 9 275HX, 32GB DDR5, 2TB PCIe Gen 4 SSD, Wi-Fi 7, Win 11 Pro, G835LX-XS97</t>
  </si>
  <si>
    <t>ASUS ROG Strix G16 (2025) Gaming Laptop, 16" FHD+ 16:10 165Hz/3ms, NVIDIA® GeForce RTX™ 5050, Intel® Core™ i5-13450HX, 16GB DDR5-5600, 1TB PCIe Gen 4 SSD, Wi-Fi 7, Windows 11 Home, G615JH-DS54</t>
  </si>
  <si>
    <t>15.6 inch Laptop, Laptops with Celeron N4000, 2025 Gaming Laptop for 8GB LPDDR4 256GB SSD, IPS FHD 1920x1080, WiFi+BT4.2+Mini HDMI+TF Card Slot, Traditional Laptops Computers Convertible 180° Netbook</t>
  </si>
  <si>
    <t>ASUS TUF Gaming A14 Copilot+ PC Gaming Laptop, 14" WQXGA 16:10 165Hz Display, AMD Ryzen™ AI Max+ 392 Processor, 32GB LPDDR5X, 1TB PCIe® Gen 4.0 SSD, Wi-Fi 6E, Windows 11 Home, FA401, Jaegar Gray</t>
  </si>
  <si>
    <t>Lenovo Legion Pro 7i Gen 10 w/Ultra 9, RTX 5090, 64GB , 2TB,16" OLED</t>
  </si>
  <si>
    <t>ASUS ROG Flow Z13 (2025) Gaming Laptop, 13" ROG Nebula 16:10 2.5K 180Hz/3ms, the AMD Ryzen AI MAX 390 Processor, the RDNA 3.5 Graphics, 32GB LPDDR5X 8000MHz, 1TB PCIe Gen 4 SSD, Wi-Fi 7, Win 11 Home</t>
  </si>
  <si>
    <t>2026 AMD Gaming Laptop with Ryzen 5 7430U Processor(6C/12T, Up to 4.3GHz), 15.6" Display Gaming Computer, AMD Radeon™ Graphics, 16GB  512GB NVMe SSD, BK, WiFi 6, HDMI, Type-C, Webcam Cover Slide</t>
  </si>
  <si>
    <t>ASUS ROG Strix G16 (2026) Gaming Laptop, 16" ROG Nebula HDR 2.5K 240Hz/3ms, Intel Core Ultra 9 290HX Plus, NVIDIA GeForce RTX 5080, 32GB DDR5, 1TB PCIe Gen4 SSD, Wi-Fi 7, Win11 Home, G615LW-AB96</t>
  </si>
  <si>
    <t>Samsung Galaxy Book6 Enterprise Edition 14.0", Intel® Core™ Ultra 5 325</t>
  </si>
  <si>
    <t>dynabook Tecra A45-M 14" Business Laptop, AMD Ryzen 5 220 (Up to 4.9GHz), 16GB DDR5 , 512GB SSD, WUXGA 1920x1200, Wi-Fi 7, Windows 11 Pro, AI Copilot, Thunderbolt 4, Lightweight</t>
  </si>
  <si>
    <t>Tecra A45-M 14" Business</t>
  </si>
  <si>
    <t>ASUS ROG Strix G18 (2025) Gaming Laptop, 18" ROG FHD+ 16:10 144Hz, NVIDIA® GeForce RTX™ 5050, AMD Ryzen™ 9 8940HX Mobile Processor, 16GB DDR5-5200Mhz, 1TB SSD, Wi-Fi 6E, Wind 11 Home</t>
  </si>
  <si>
    <t>ASUS ROG Strix SCAR 18 (2025) Gaming Laptop, 18" ROG Nebula HDR 16:10 2.5K 240Hz/3ms, NVIDIA® GeForce RTX™ 5080, Intel® Core™ Ultra 9 275HX, 32GB DDR5-5600, 2TB PCIe Gen 4 SSD, Wi-Fi 7, Windows 11 Pro</t>
  </si>
  <si>
    <t>msi Stealth 16 AI+ 16" 240Hz QHD+ OLED Gaming Laptop: Intel Core Ultra 9 386H, NVIDIA Geforce RTX 5070Ti, 32GB DDR5, 1TB NVMe SSD, Wi-Fi 7, Win 11 Home: Charcoal Black B3WH-036US</t>
  </si>
  <si>
    <t>dynabook Portégé X40-M 14" Business Laptop, Intel Core Ultra 5 225U, 16GB DDR5 , 512GB SSD, WUXGA 1920x1200, Windows 11 Pro, Lightweight 3.17 lb, Wi-Fi 7, Thunderbolt 4</t>
  </si>
  <si>
    <t>Portégé X40-M 14" Business</t>
  </si>
  <si>
    <t>Variable</t>
  </si>
  <si>
    <t>Discount %</t>
  </si>
  <si>
    <t xml:space="preserve">Refresh Rate </t>
  </si>
  <si>
    <t xml:space="preserve">Mean </t>
  </si>
  <si>
    <t xml:space="preserve">Median </t>
  </si>
  <si>
    <t>Min</t>
  </si>
  <si>
    <t>Max</t>
  </si>
  <si>
    <t>Std.Deviation</t>
  </si>
  <si>
    <t>Average Discounted Price (PKR)</t>
  </si>
  <si>
    <t>Normal Use</t>
  </si>
  <si>
    <t>Office / Business</t>
  </si>
  <si>
    <t>Average Discounted Price by Category</t>
  </si>
  <si>
    <t>Count of Laptops by Brand</t>
  </si>
  <si>
    <t>Brand</t>
  </si>
  <si>
    <t>Laptop Count</t>
  </si>
  <si>
    <t>Correlation Between RAM and Discounted Price</t>
  </si>
  <si>
    <t>Discount Status</t>
  </si>
  <si>
    <t>Product Count</t>
  </si>
  <si>
    <t>Discount Applied</t>
  </si>
  <si>
    <t>No Discount</t>
  </si>
  <si>
    <t>Laptop Category Counts</t>
  </si>
  <si>
    <t>Most Common RAM Configuration</t>
  </si>
  <si>
    <t>Most common</t>
  </si>
  <si>
    <t>Summary Statistics Table.</t>
  </si>
  <si>
    <t>Rating(0-5)</t>
  </si>
  <si>
    <t>Product Count by Discount Status.</t>
  </si>
  <si>
    <t>Laptop Count by GPU Model</t>
  </si>
  <si>
    <t>Correlation Between Ratings &amp; Discounted Percentage</t>
  </si>
  <si>
    <t xml:space="preserve">Correlation Between Storage And Discounted Price 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</si>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</sst>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37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sz val="18"/>
      <color theme="3"/>
      <name val="Calisto MT"/>
      <family val="2"/>
      <scheme val="major"/>
    </font>
    <font>
      <b/>
      <sz val="15"/>
      <color theme="3"/>
      <name val="Calisto MT"/>
      <family val="2"/>
      <scheme val="minor"/>
    </font>
    <font>
      <b/>
      <sz val="13"/>
      <color theme="3"/>
      <name val="Calisto MT"/>
      <family val="2"/>
      <scheme val="minor"/>
    </font>
    <font>
      <b/>
      <sz val="11"/>
      <color theme="3"/>
      <name val="Calisto MT"/>
      <family val="2"/>
      <scheme val="minor"/>
    </font>
    <font>
      <sz val="11"/>
      <color rgb="FF006100"/>
      <name val="Calisto MT"/>
      <family val="2"/>
      <scheme val="minor"/>
    </font>
    <font>
      <sz val="11"/>
      <color rgb="FF9C0006"/>
      <name val="Calisto MT"/>
      <family val="2"/>
      <scheme val="minor"/>
    </font>
    <font>
      <sz val="11"/>
      <color rgb="FF9C5700"/>
      <name val="Calisto MT"/>
      <family val="2"/>
      <scheme val="minor"/>
    </font>
    <font>
      <sz val="11"/>
      <color rgb="FF3F3F76"/>
      <name val="Calisto MT"/>
      <family val="2"/>
      <scheme val="minor"/>
    </font>
    <font>
      <b/>
      <sz val="11"/>
      <color rgb="FF3F3F3F"/>
      <name val="Calisto MT"/>
      <family val="2"/>
      <scheme val="minor"/>
    </font>
    <font>
      <b/>
      <sz val="11"/>
      <color rgb="FFFA7D00"/>
      <name val="Calisto MT"/>
      <family val="2"/>
      <scheme val="minor"/>
    </font>
    <font>
      <sz val="11"/>
      <color rgb="FFFA7D00"/>
      <name val="Calisto MT"/>
      <family val="2"/>
      <scheme val="minor"/>
    </font>
    <font>
      <b/>
      <sz val="11"/>
      <color theme="0"/>
      <name val="Calisto MT"/>
      <family val="2"/>
      <scheme val="minor"/>
    </font>
    <font>
      <sz val="11"/>
      <color rgb="FFFF0000"/>
      <name val="Calisto MT"/>
      <family val="2"/>
      <scheme val="minor"/>
    </font>
    <font>
      <i/>
      <sz val="11"/>
      <color rgb="FF7F7F7F"/>
      <name val="Calisto MT"/>
      <family val="2"/>
      <scheme val="minor"/>
    </font>
    <font>
      <b/>
      <sz val="11"/>
      <color theme="1"/>
      <name val="Calisto MT"/>
      <family val="2"/>
      <scheme val="minor"/>
    </font>
    <font>
      <sz val="11"/>
      <color theme="0"/>
      <name val="Calisto MT"/>
      <family val="2"/>
      <scheme val="minor"/>
    </font>
    <font>
      <b/>
      <sz val="16"/>
      <color theme="1"/>
      <name val="Calisto MT"/>
      <family val="2"/>
      <scheme val="minor"/>
    </font>
    <font>
      <b/>
      <sz val="14"/>
      <name val="Calisto MT"/>
      <family val="2"/>
      <scheme val="minor"/>
    </font>
    <font>
      <sz val="11"/>
      <color rgb="FF000000"/>
      <name val="Calisto MT"/>
      <family val="2"/>
      <scheme val="minor"/>
    </font>
    <font>
      <sz val="20"/>
      <color theme="1"/>
      <name val="Algerian"/>
      <family val="5"/>
    </font>
    <font>
      <sz val="24"/>
      <color theme="1"/>
      <name val="Algerian"/>
      <family val="5"/>
    </font>
    <font>
      <sz val="11"/>
      <name val="Calisto MT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sto MT"/>
      <family val="1"/>
      <scheme val="minor"/>
    </font>
    <font>
      <b/>
      <sz val="11"/>
      <color rgb="FF000000"/>
      <name val="Calisto MT"/>
      <family val="1"/>
      <scheme val="minor"/>
    </font>
    <font>
      <b/>
      <sz val="11"/>
      <name val="Calisto MT"/>
      <family val="1"/>
      <scheme val="minor"/>
    </font>
    <font>
      <b/>
      <sz val="11"/>
      <color rgb="FFFFFFFF"/>
      <name val="Calibri"/>
    </font>
    <font>
      <sz val="11"/>
      <color rgb="FF222222"/>
      <name val="Calibri"/>
    </font>
    <font>
      <b/>
      <sz val="11"/>
      <color theme="1"/>
      <name val="Calisto MT"/>
      <family val="1"/>
      <scheme val="minor"/>
    </font>
    <font>
      <b/>
      <sz val="11"/>
      <color rgb="FF000000"/>
      <name val="Calisto MT"/>
      <family val="2"/>
      <scheme val="minor"/>
    </font>
    <font>
      <b/>
      <sz val="18"/>
      <color theme="1"/>
      <name val="Algerian"/>
      <family val="5"/>
    </font>
    <font>
      <sz val="18"/>
      <color theme="1"/>
      <name val="Algerian"/>
      <family val="5"/>
    </font>
    <font>
      <sz val="22"/>
      <color theme="1"/>
      <name val="Algerian"/>
      <family val="5"/>
    </font>
    <font>
      <sz val="26"/>
      <color theme="1"/>
      <name val="Algerian"/>
      <family val="5"/>
    </font>
    <font>
      <b/>
      <sz val="18"/>
      <name val="Algerian"/>
      <family val="5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66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rgb="FF808080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 style="thin">
        <color theme="4" tint="0.39997558519241921"/>
      </left>
      <right/>
      <top style="thick">
        <color rgb="FF1D2330"/>
      </top>
      <bottom style="thin">
        <color rgb="FF808080"/>
      </bottom>
      <diagonal/>
    </border>
    <border>
      <left/>
      <right/>
      <top style="thin">
        <color rgb="FF1D2330"/>
      </top>
      <bottom/>
      <diagonal/>
    </border>
    <border>
      <left style="thin">
        <color rgb="FF1D2330"/>
      </left>
      <right/>
      <top/>
      <bottom/>
      <diagonal/>
    </border>
    <border>
      <left/>
      <right style="thin">
        <color rgb="FF1D233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164" fontId="20" fillId="33" borderId="0" xfId="0" applyNumberFormat="1" applyFont="1" applyFill="1" applyAlignment="1">
      <alignment horizontal="left" vertical="top"/>
    </xf>
    <xf numFmtId="165" fontId="20" fillId="0" borderId="0" xfId="0" applyNumberFormat="1" applyFont="1" applyAlignment="1">
      <alignment horizontal="left" vertical="top"/>
    </xf>
    <xf numFmtId="0" fontId="19" fillId="34" borderId="0" xfId="0" applyFont="1" applyFill="1" applyAlignment="1">
      <alignment horizontal="left" vertical="top" wrapText="1"/>
    </xf>
    <xf numFmtId="0" fontId="18" fillId="34" borderId="0" xfId="0" applyFont="1" applyFill="1" applyAlignment="1">
      <alignment horizontal="left" vertical="top"/>
    </xf>
    <xf numFmtId="0" fontId="23" fillId="36" borderId="0" xfId="0" applyFont="1" applyFill="1" applyAlignment="1">
      <alignment horizontal="left" vertical="top"/>
    </xf>
    <xf numFmtId="0" fontId="24" fillId="33" borderId="13" xfId="0" applyFont="1" applyFill="1" applyBorder="1" applyAlignment="1">
      <alignment horizontal="right"/>
    </xf>
    <xf numFmtId="0" fontId="24" fillId="38" borderId="12" xfId="0" applyFont="1" applyFill="1" applyBorder="1" applyAlignment="1">
      <alignment horizontal="center"/>
    </xf>
    <xf numFmtId="0" fontId="16" fillId="0" borderId="0" xfId="0" applyFont="1"/>
    <xf numFmtId="0" fontId="26" fillId="38" borderId="15" xfId="0" applyFont="1" applyFill="1" applyBorder="1" applyAlignment="1">
      <alignment horizontal="left"/>
    </xf>
    <xf numFmtId="0" fontId="26" fillId="38" borderId="12" xfId="0" applyFont="1" applyFill="1" applyBorder="1" applyAlignment="1">
      <alignment horizontal="center"/>
    </xf>
    <xf numFmtId="0" fontId="26" fillId="38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left"/>
    </xf>
    <xf numFmtId="4" fontId="25" fillId="35" borderId="11" xfId="0" applyNumberFormat="1" applyFont="1" applyFill="1" applyBorder="1" applyAlignment="1">
      <alignment horizontal="right"/>
    </xf>
    <xf numFmtId="0" fontId="25" fillId="0" borderId="10" xfId="0" applyFont="1" applyBorder="1" applyAlignment="1">
      <alignment horizontal="left"/>
    </xf>
    <xf numFmtId="4" fontId="25" fillId="0" borderId="11" xfId="0" applyNumberFormat="1" applyFont="1" applyBorder="1" applyAlignment="1">
      <alignment horizontal="right"/>
    </xf>
    <xf numFmtId="0" fontId="27" fillId="38" borderId="16" xfId="0" applyFont="1" applyFill="1" applyBorder="1" applyAlignment="1">
      <alignment horizontal="left"/>
    </xf>
    <xf numFmtId="0" fontId="29" fillId="33" borderId="17" xfId="0" applyFont="1" applyFill="1" applyBorder="1" applyAlignment="1">
      <alignment horizontal="left"/>
    </xf>
    <xf numFmtId="0" fontId="29" fillId="33" borderId="0" xfId="0" applyFont="1" applyFill="1" applyAlignment="1">
      <alignment horizontal="left"/>
    </xf>
    <xf numFmtId="0" fontId="28" fillId="37" borderId="18" xfId="0" applyFont="1" applyFill="1" applyBorder="1" applyAlignment="1">
      <alignment horizontal="center"/>
    </xf>
    <xf numFmtId="0" fontId="28" fillId="37" borderId="19" xfId="0" applyFont="1" applyFill="1" applyBorder="1" applyAlignment="1">
      <alignment horizontal="center"/>
    </xf>
    <xf numFmtId="0" fontId="30" fillId="38" borderId="12" xfId="0" applyFont="1" applyFill="1" applyBorder="1" applyAlignment="1">
      <alignment horizontal="center"/>
    </xf>
    <xf numFmtId="0" fontId="31" fillId="38" borderId="0" xfId="0" applyFont="1" applyFill="1" applyAlignment="1">
      <alignment horizontal="center"/>
    </xf>
    <xf numFmtId="0" fontId="31" fillId="39" borderId="0" xfId="0" applyFont="1" applyFill="1"/>
    <xf numFmtId="1" fontId="0" fillId="0" borderId="0" xfId="0" applyNumberFormat="1" applyAlignment="1">
      <alignment horizontal="left" vertical="top"/>
    </xf>
    <xf numFmtId="0" fontId="32" fillId="40" borderId="0" xfId="0" applyFont="1" applyFill="1" applyAlignment="1">
      <alignment horizontal="left" vertical="top"/>
    </xf>
    <xf numFmtId="0" fontId="36" fillId="40" borderId="0" xfId="0" applyFont="1" applyFill="1" applyAlignment="1">
      <alignment horizontal="left" vertical="top" wrapText="1"/>
    </xf>
    <xf numFmtId="0" fontId="36" fillId="40" borderId="0" xfId="0" applyFont="1" applyFill="1" applyAlignment="1">
      <alignment horizontal="center" vertical="top" wrapText="1"/>
    </xf>
    <xf numFmtId="14" fontId="32" fillId="40" borderId="0" xfId="0" applyNumberFormat="1" applyFont="1" applyFill="1" applyAlignment="1">
      <alignment horizontal="left" vertical="top"/>
    </xf>
    <xf numFmtId="0" fontId="33" fillId="40" borderId="0" xfId="0" applyFont="1" applyFill="1" applyAlignment="1">
      <alignment horizontal="left" vertical="top"/>
    </xf>
    <xf numFmtId="0" fontId="33" fillId="40" borderId="0" xfId="0" applyFont="1" applyFill="1"/>
    <xf numFmtId="0" fontId="35" fillId="36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36" borderId="18" xfId="0" applyFont="1" applyFill="1" applyBorder="1" applyAlignment="1">
      <alignment horizontal="center"/>
    </xf>
    <xf numFmtId="0" fontId="32" fillId="3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/>
    <xf numFmtId="0" fontId="16" fillId="0" borderId="0" xfId="0" applyFont="1"/>
    <xf numFmtId="0" fontId="34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sto MT"/>
        <family val="2"/>
        <scheme val="minor"/>
      </font>
      <fill>
        <patternFill patternType="solid">
          <fgColor indexed="64"/>
          <bgColor rgb="FFE2E3E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sto MT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bottom style="thin">
          <color rgb="FF808080"/>
        </bottom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E2E3E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sto MT"/>
        <family val="2"/>
        <scheme val="minor"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Laptops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'Exploratory Data Analysis (EDA)'!$L$15</c:f>
              <c:strCache>
                <c:ptCount val="1"/>
                <c:pt idx="0">
                  <c:v>Laptop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'Exploratory Data Analysis (EDA)'!$K$16:$K$35</c15:sqref>
                  </c15:fullRef>
                </c:ext>
              </c:extLst>
              <c:f>'Exploratory Data Analysis (EDA)'!$K$17:$K$35</c:f>
              <c:strCache>
                <c:ptCount val="19"/>
                <c:pt idx="0">
                  <c:v>Lenovo</c:v>
                </c:pt>
                <c:pt idx="1">
                  <c:v>KAIGERR</c:v>
                </c:pt>
                <c:pt idx="2">
                  <c:v>msi</c:v>
                </c:pt>
                <c:pt idx="3">
                  <c:v>Acer</c:v>
                </c:pt>
                <c:pt idx="4">
                  <c:v>MALLRACE</c:v>
                </c:pt>
                <c:pt idx="5">
                  <c:v>Not Provided</c:v>
                </c:pt>
                <c:pt idx="6">
                  <c:v>FUNYET</c:v>
                </c:pt>
                <c:pt idx="7">
                  <c:v>dynabook</c:v>
                </c:pt>
                <c:pt idx="8">
                  <c:v>NIMO</c:v>
                </c:pt>
                <c:pt idx="9">
                  <c:v>SAGAWHALE</c:v>
                </c:pt>
                <c:pt idx="10">
                  <c:v>AKCHART</c:v>
                </c:pt>
                <c:pt idx="11">
                  <c:v>Alienware</c:v>
                </c:pt>
                <c:pt idx="12">
                  <c:v>CHIFUYOU</c:v>
                </c:pt>
                <c:pt idx="13">
                  <c:v>NAIKLULU</c:v>
                </c:pt>
                <c:pt idx="14">
                  <c:v>NIAKUN</c:v>
                </c:pt>
                <c:pt idx="15">
                  <c:v>Razer</c:v>
                </c:pt>
                <c:pt idx="16">
                  <c:v>Samsung</c:v>
                </c:pt>
                <c:pt idx="17">
                  <c:v>Tunhail</c:v>
                </c:pt>
                <c:pt idx="18">
                  <c:v>YOZISUAN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'Exploratory Data Analysis (EDA)'!$L$16:$L$35</c15:sqref>
                  </c15:fullRef>
                </c:ext>
              </c:extLst>
              <c:f>'Exploratory Data Analysis (EDA)'!$L$17:$L$35</c:f>
              <c:numCache>
                <c:formatCode>0</c:formatCode>
                <c:ptCount val="1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6-41A2-9A68-904C228F5C57}"/>
            </c:ext>
          </c:extLst>
        </c:ser>
        <c:ser>
          <c:idx val="1"/>
          <c:order val="1"/>
          <c:tx>
            <c:strRef>
              <c:f>'Exploratory Data Analysis (EDA)'!$M$15</c:f>
              <c:strCache>
                <c:ptCount val="1"/>
                <c:pt idx="0">
                  <c:v>Laptop Category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'Exploratory Data Analysis (EDA)'!$K$16:$K$35</c15:sqref>
                  </c15:fullRef>
                </c:ext>
              </c:extLst>
              <c:f>'Exploratory Data Analysis (EDA)'!$K$17:$K$35</c:f>
              <c:strCache>
                <c:ptCount val="19"/>
                <c:pt idx="0">
                  <c:v>Lenovo</c:v>
                </c:pt>
                <c:pt idx="1">
                  <c:v>KAIGERR</c:v>
                </c:pt>
                <c:pt idx="2">
                  <c:v>msi</c:v>
                </c:pt>
                <c:pt idx="3">
                  <c:v>Acer</c:v>
                </c:pt>
                <c:pt idx="4">
                  <c:v>MALLRACE</c:v>
                </c:pt>
                <c:pt idx="5">
                  <c:v>Not Provided</c:v>
                </c:pt>
                <c:pt idx="6">
                  <c:v>FUNYET</c:v>
                </c:pt>
                <c:pt idx="7">
                  <c:v>dynabook</c:v>
                </c:pt>
                <c:pt idx="8">
                  <c:v>NIMO</c:v>
                </c:pt>
                <c:pt idx="9">
                  <c:v>SAGAWHALE</c:v>
                </c:pt>
                <c:pt idx="10">
                  <c:v>AKCHART</c:v>
                </c:pt>
                <c:pt idx="11">
                  <c:v>Alienware</c:v>
                </c:pt>
                <c:pt idx="12">
                  <c:v>CHIFUYOU</c:v>
                </c:pt>
                <c:pt idx="13">
                  <c:v>NAIKLULU</c:v>
                </c:pt>
                <c:pt idx="14">
                  <c:v>NIAKUN</c:v>
                </c:pt>
                <c:pt idx="15">
                  <c:v>Razer</c:v>
                </c:pt>
                <c:pt idx="16">
                  <c:v>Samsung</c:v>
                </c:pt>
                <c:pt idx="17">
                  <c:v>Tunhail</c:v>
                </c:pt>
                <c:pt idx="18">
                  <c:v>YOZISUAN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'Exploratory Data Analysis (EDA)'!$M$16:$M$35</c15:sqref>
                  </c15:fullRef>
                </c:ext>
              </c:extLst>
              <c:f>'Exploratory Data Analysis (EDA)'!$M$17:$M$35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6-41A2-9A68-904C228F5C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7473984"/>
        <c:axId val="1245965488"/>
      </c:barChart>
      <c:catAx>
        <c:axId val="1927473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Brand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65488"/>
        <c:crosses val="autoZero"/>
        <c:auto val="1"/>
        <c:lblAlgn val="ctr"/>
        <c:lblOffset val="100"/>
        <c:noMultiLvlLbl val="0"/>
      </c:catAx>
      <c:valAx>
        <c:axId val="1245965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Laptops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7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'Exploratory Data Analysis (EDA)'!$B$20</c:f>
              <c:strCache>
                <c:ptCount val="1"/>
                <c:pt idx="0">
                  <c:v>Product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FA-4287-9E7B-EF7CD9B71A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FA-4287-9E7B-EF7CD9B71AA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'Exploratory Data Analysis (EDA)'!$A$21:$A$22</c:f>
              <c:strCache>
                <c:ptCount val="2"/>
                <c:pt idx="0">
                  <c:v>Discount Applied</c:v>
                </c:pt>
                <c:pt idx="1">
                  <c:v>No Discount</c:v>
                </c:pt>
              </c:strCache>
            </c:strRef>
          </c:cat>
          <c:val>
            <c:numRef>
              <c:f>'Exploratory Data Analysis (EDA)'!$B$21:$B$22</c:f>
              <c:numCache>
                <c:formatCode>General</c:formatCode>
                <c:ptCount val="2"/>
                <c:pt idx="0">
                  <c:v>16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A-4287-9E7B-EF7CD9B71A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Laptop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 (EDA)'!$B$42</c:f>
              <c:strCache>
                <c:ptCount val="1"/>
                <c:pt idx="0">
                  <c:v>Laptop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'Exploratory Data Analysis (EDA)'!$A$43:$A$45</c:f>
              <c:strCache>
                <c:ptCount val="3"/>
                <c:pt idx="0">
                  <c:v>Gaming</c:v>
                </c:pt>
                <c:pt idx="1">
                  <c:v>Normal Use</c:v>
                </c:pt>
                <c:pt idx="2">
                  <c:v>Office / Business</c:v>
                </c:pt>
              </c:strCache>
            </c:strRef>
          </c:cat>
          <c:val>
            <c:numRef>
              <c:f>'Exploratory Data Analysis (EDA)'!$B$43:$B$45</c:f>
              <c:numCache>
                <c:formatCode>General</c:formatCode>
                <c:ptCount val="3"/>
                <c:pt idx="0">
                  <c:v>28</c:v>
                </c:pt>
                <c:pt idx="1">
                  <c:v>18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2-4C45-B13A-6E28E9494F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77957952"/>
        <c:axId val="1699652016"/>
      </c:barChart>
      <c:catAx>
        <c:axId val="207795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Laptop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52016"/>
        <c:crosses val="autoZero"/>
        <c:auto val="1"/>
        <c:lblAlgn val="ctr"/>
        <c:lblOffset val="100"/>
        <c:noMultiLvlLbl val="0"/>
      </c:catAx>
      <c:valAx>
        <c:axId val="16996520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Laptops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779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GPU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'Exploratory Data Analysis (EDA)'!$F$41</c:f>
              <c:strCache>
                <c:ptCount val="1"/>
                <c:pt idx="0">
                  <c:v>Laptop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087-4A86-8A9D-4A8185ED38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'Exploratory Data Analysis (EDA)'!$E$42:$E$52</c:f>
              <c:strCache>
                <c:ptCount val="11"/>
                <c:pt idx="0">
                  <c:v>NVIDIA GeForce RTX 5050</c:v>
                </c:pt>
                <c:pt idx="1">
                  <c:v>NVIDIA GeForce RTX 5060</c:v>
                </c:pt>
                <c:pt idx="2">
                  <c:v>NVIDIA GeForce RTX 5070</c:v>
                </c:pt>
                <c:pt idx="3">
                  <c:v>NVIDIA GeForce RTX 5080</c:v>
                </c:pt>
                <c:pt idx="4">
                  <c:v>Radeon RX Vega 8 Graphics</c:v>
                </c:pt>
                <c:pt idx="5">
                  <c:v>AMD Radeon Graphics</c:v>
                </c:pt>
                <c:pt idx="6">
                  <c:v>GeForce RTX 5050</c:v>
                </c:pt>
                <c:pt idx="7">
                  <c:v>GeForce RTX 5070 Ti</c:v>
                </c:pt>
                <c:pt idx="8">
                  <c:v>NVIDIA GeForce RTX 4050</c:v>
                </c:pt>
                <c:pt idx="9">
                  <c:v>NVIDIA GeForce RTX 5070 Ti</c:v>
                </c:pt>
                <c:pt idx="10">
                  <c:v>NVIDIA GeForce RTX 5090</c:v>
                </c:pt>
              </c:strCache>
            </c:strRef>
          </c:cat>
          <c:val>
            <c:numRef>
              <c:f>'Exploratory Data Analysis (EDA)'!$F$42:$F$52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87-4A86-8A9D-4A8185ED38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3189200"/>
        <c:axId val="1699556496"/>
      </c:barChart>
      <c:catAx>
        <c:axId val="66318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56496"/>
        <c:crosses val="autoZero"/>
        <c:auto val="1"/>
        <c:lblAlgn val="ctr"/>
        <c:lblOffset val="100"/>
        <c:noMultiLvlLbl val="0"/>
      </c:catAx>
      <c:valAx>
        <c:axId val="1699556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Laptop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8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RAM Configuration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 (EDA)'!$M$42</c:f>
              <c:strCache>
                <c:ptCount val="1"/>
                <c:pt idx="0">
                  <c:v>RAM (GB)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F7-4597-BCA0-C6F6443B97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'Exploratory Data Analysis (EDA)'!$M$43:$M$48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F7-4597-BCA0-C6F6443B97CB}"/>
            </c:ext>
          </c:extLst>
        </c:ser>
        <c:ser>
          <c:idx val="1"/>
          <c:order val="1"/>
          <c:tx>
            <c:strRef>
              <c:f>'Exploratory Data Analysis (EDA)'!$N$42</c:f>
              <c:strCache>
                <c:ptCount val="1"/>
                <c:pt idx="0">
                  <c:v>Laptop Count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AF7-4597-BCA0-C6F6443B97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'Exploratory Data Analysis (EDA)'!$N$43:$N$48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27</c:v>
                </c:pt>
                <c:pt idx="3">
                  <c:v>7</c:v>
                </c:pt>
                <c:pt idx="4">
                  <c:v>13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F7-4597-BCA0-C6F6443B97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7496160"/>
        <c:axId val="1699628496"/>
      </c:barChart>
      <c:catAx>
        <c:axId val="115749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RAM (GB)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28496"/>
        <c:crosses val="autoZero"/>
        <c:auto val="1"/>
        <c:lblAlgn val="ctr"/>
        <c:lblOffset val="100"/>
        <c:noMultiLvlLbl val="0"/>
      </c:catAx>
      <c:valAx>
        <c:axId val="16996284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Laptop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57496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Discounted Price (PKR) By Laptop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 (EDA)'!$B$69</c:f>
              <c:strCache>
                <c:ptCount val="1"/>
                <c:pt idx="0">
                  <c:v>Average Discounted Price (PKR)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'Exploratory Data Analysis (EDA)'!$A$70:$A$72</c:f>
              <c:strCache>
                <c:ptCount val="3"/>
                <c:pt idx="0">
                  <c:v>Gaming</c:v>
                </c:pt>
                <c:pt idx="1">
                  <c:v>Normal Use</c:v>
                </c:pt>
                <c:pt idx="2">
                  <c:v>Office / Business</c:v>
                </c:pt>
              </c:strCache>
            </c:strRef>
          </c:cat>
          <c:val>
            <c:numRef>
              <c:f>'Exploratory Data Analysis (EDA)'!$B$70:$B$72</c:f>
              <c:numCache>
                <c:formatCode>#,##0.00</c:formatCode>
                <c:ptCount val="3"/>
                <c:pt idx="0">
                  <c:v>608827.26142857154</c:v>
                </c:pt>
                <c:pt idx="1">
                  <c:v>307663.94222222222</c:v>
                </c:pt>
                <c:pt idx="2">
                  <c:v>216586.39333333331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A-4CD2-B198-4F50A49425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6130000"/>
        <c:axId val="1246026928"/>
      </c:barChart>
      <c:catAx>
        <c:axId val="17461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026928"/>
        <c:crosses val="autoZero"/>
        <c:auto val="1"/>
        <c:lblAlgn val="ctr"/>
        <c:lblOffset val="100"/>
        <c:noMultiLvlLbl val="0"/>
      </c:catAx>
      <c:valAx>
        <c:axId val="12460269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74613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RAM VS Discounted Price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Sheet2!$A$2:$A$59</c:f>
              <c:numCache>
                <c:formatCode>General</c:formatCode>
                <c:ptCount val="58"/>
                <c:pt idx="0">
                  <c:v>16</c:v>
                </c:pt>
                <c:pt idx="1">
                  <c:v>32</c:v>
                </c:pt>
                <c:pt idx="2">
                  <c:v>24</c:v>
                </c:pt>
                <c:pt idx="3">
                  <c:v>16</c:v>
                </c:pt>
                <c:pt idx="4">
                  <c:v>16</c:v>
                </c:pt>
                <c:pt idx="5">
                  <c:v>24</c:v>
                </c:pt>
                <c:pt idx="6">
                  <c:v>32</c:v>
                </c:pt>
                <c:pt idx="7">
                  <c:v>32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8</c:v>
                </c:pt>
                <c:pt idx="12">
                  <c:v>16</c:v>
                </c:pt>
                <c:pt idx="13">
                  <c:v>32</c:v>
                </c:pt>
                <c:pt idx="14">
                  <c:v>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32</c:v>
                </c:pt>
                <c:pt idx="21">
                  <c:v>16</c:v>
                </c:pt>
                <c:pt idx="22">
                  <c:v>16</c:v>
                </c:pt>
                <c:pt idx="23">
                  <c:v>0</c:v>
                </c:pt>
                <c:pt idx="24">
                  <c:v>16</c:v>
                </c:pt>
                <c:pt idx="25">
                  <c:v>32</c:v>
                </c:pt>
                <c:pt idx="26">
                  <c:v>16</c:v>
                </c:pt>
                <c:pt idx="27">
                  <c:v>8</c:v>
                </c:pt>
                <c:pt idx="28">
                  <c:v>16</c:v>
                </c:pt>
                <c:pt idx="29">
                  <c:v>32</c:v>
                </c:pt>
                <c:pt idx="30">
                  <c:v>64</c:v>
                </c:pt>
                <c:pt idx="31">
                  <c:v>32</c:v>
                </c:pt>
                <c:pt idx="32">
                  <c:v>16</c:v>
                </c:pt>
                <c:pt idx="33">
                  <c:v>32</c:v>
                </c:pt>
                <c:pt idx="34">
                  <c:v>16</c:v>
                </c:pt>
                <c:pt idx="35">
                  <c:v>32</c:v>
                </c:pt>
                <c:pt idx="36">
                  <c:v>16</c:v>
                </c:pt>
                <c:pt idx="37">
                  <c:v>0</c:v>
                </c:pt>
                <c:pt idx="38">
                  <c:v>16</c:v>
                </c:pt>
                <c:pt idx="39">
                  <c:v>16</c:v>
                </c:pt>
                <c:pt idx="40">
                  <c:v>8</c:v>
                </c:pt>
                <c:pt idx="41">
                  <c:v>16</c:v>
                </c:pt>
                <c:pt idx="42">
                  <c:v>24</c:v>
                </c:pt>
                <c:pt idx="43">
                  <c:v>16</c:v>
                </c:pt>
                <c:pt idx="44">
                  <c:v>24</c:v>
                </c:pt>
                <c:pt idx="45">
                  <c:v>24</c:v>
                </c:pt>
                <c:pt idx="46">
                  <c:v>16</c:v>
                </c:pt>
                <c:pt idx="47">
                  <c:v>24</c:v>
                </c:pt>
                <c:pt idx="48">
                  <c:v>16</c:v>
                </c:pt>
                <c:pt idx="49">
                  <c:v>32</c:v>
                </c:pt>
                <c:pt idx="50">
                  <c:v>12</c:v>
                </c:pt>
                <c:pt idx="51">
                  <c:v>8</c:v>
                </c:pt>
                <c:pt idx="52">
                  <c:v>32</c:v>
                </c:pt>
                <c:pt idx="53">
                  <c:v>16</c:v>
                </c:pt>
                <c:pt idx="54">
                  <c:v>0</c:v>
                </c:pt>
                <c:pt idx="55">
                  <c:v>16</c:v>
                </c:pt>
                <c:pt idx="56">
                  <c:v>16</c:v>
                </c:pt>
                <c:pt idx="57">
                  <c:v>0</c:v>
                </c:pt>
              </c:numCache>
            </c:numRef>
          </c:xVal>
          <c:yVal>
            <c:numRef>
              <c:f>Sheet2!$B$2:$B$59</c:f>
              <c:numCache>
                <c:formatCode>General</c:formatCode>
                <c:ptCount val="58"/>
                <c:pt idx="0">
                  <c:v>438210.9</c:v>
                </c:pt>
                <c:pt idx="1">
                  <c:v>401900.98</c:v>
                </c:pt>
                <c:pt idx="2">
                  <c:v>188476.23</c:v>
                </c:pt>
                <c:pt idx="3">
                  <c:v>155215.23000000001</c:v>
                </c:pt>
                <c:pt idx="4">
                  <c:v>182655.55</c:v>
                </c:pt>
                <c:pt idx="5">
                  <c:v>526629.73</c:v>
                </c:pt>
                <c:pt idx="6">
                  <c:v>706513.53</c:v>
                </c:pt>
                <c:pt idx="7">
                  <c:v>970109.73</c:v>
                </c:pt>
                <c:pt idx="8">
                  <c:v>360324.73</c:v>
                </c:pt>
                <c:pt idx="9">
                  <c:v>138584.73000000001</c:v>
                </c:pt>
                <c:pt idx="10">
                  <c:v>260541.73</c:v>
                </c:pt>
                <c:pt idx="11">
                  <c:v>374183.48</c:v>
                </c:pt>
                <c:pt idx="12">
                  <c:v>163524.93</c:v>
                </c:pt>
                <c:pt idx="13">
                  <c:v>748369.73</c:v>
                </c:pt>
                <c:pt idx="14">
                  <c:v>182655.55</c:v>
                </c:pt>
                <c:pt idx="15">
                  <c:v>493094.32</c:v>
                </c:pt>
                <c:pt idx="16">
                  <c:v>191247.98</c:v>
                </c:pt>
                <c:pt idx="17">
                  <c:v>110867.23</c:v>
                </c:pt>
                <c:pt idx="18">
                  <c:v>304615.32</c:v>
                </c:pt>
                <c:pt idx="19">
                  <c:v>527821.57999999996</c:v>
                </c:pt>
                <c:pt idx="20">
                  <c:v>629251</c:v>
                </c:pt>
                <c:pt idx="21">
                  <c:v>422689.1</c:v>
                </c:pt>
                <c:pt idx="22">
                  <c:v>527821.57999999996</c:v>
                </c:pt>
                <c:pt idx="23">
                  <c:v>527821.57999999996</c:v>
                </c:pt>
                <c:pt idx="24">
                  <c:v>442368.53</c:v>
                </c:pt>
                <c:pt idx="25">
                  <c:v>1247284.73</c:v>
                </c:pt>
                <c:pt idx="26">
                  <c:v>374183.48</c:v>
                </c:pt>
                <c:pt idx="27">
                  <c:v>66519.23</c:v>
                </c:pt>
                <c:pt idx="28">
                  <c:v>85921.48</c:v>
                </c:pt>
                <c:pt idx="29">
                  <c:v>516097.08</c:v>
                </c:pt>
                <c:pt idx="30">
                  <c:v>1662772.82</c:v>
                </c:pt>
                <c:pt idx="31">
                  <c:v>552964.12</c:v>
                </c:pt>
                <c:pt idx="32">
                  <c:v>498773.64</c:v>
                </c:pt>
                <c:pt idx="33">
                  <c:v>613088.93000000005</c:v>
                </c:pt>
                <c:pt idx="34">
                  <c:v>243911.23</c:v>
                </c:pt>
                <c:pt idx="35">
                  <c:v>1080979.73</c:v>
                </c:pt>
                <c:pt idx="36">
                  <c:v>138584.73000000001</c:v>
                </c:pt>
                <c:pt idx="37">
                  <c:v>410219</c:v>
                </c:pt>
                <c:pt idx="38">
                  <c:v>335104.58</c:v>
                </c:pt>
                <c:pt idx="39">
                  <c:v>277172.23</c:v>
                </c:pt>
                <c:pt idx="40">
                  <c:v>374183.48</c:v>
                </c:pt>
                <c:pt idx="41">
                  <c:v>182921.64</c:v>
                </c:pt>
                <c:pt idx="42">
                  <c:v>191247.98</c:v>
                </c:pt>
                <c:pt idx="43">
                  <c:v>376680.82</c:v>
                </c:pt>
                <c:pt idx="44">
                  <c:v>188476.23</c:v>
                </c:pt>
                <c:pt idx="45">
                  <c:v>191247.98</c:v>
                </c:pt>
                <c:pt idx="46">
                  <c:v>457053.26</c:v>
                </c:pt>
                <c:pt idx="47">
                  <c:v>202334.98</c:v>
                </c:pt>
                <c:pt idx="48">
                  <c:v>388042.23</c:v>
                </c:pt>
                <c:pt idx="49">
                  <c:v>942392.23</c:v>
                </c:pt>
                <c:pt idx="50">
                  <c:v>91462.21</c:v>
                </c:pt>
                <c:pt idx="51">
                  <c:v>263313.48</c:v>
                </c:pt>
                <c:pt idx="52">
                  <c:v>859239.73</c:v>
                </c:pt>
                <c:pt idx="53">
                  <c:v>97008.48</c:v>
                </c:pt>
                <c:pt idx="54">
                  <c:v>1856795.32</c:v>
                </c:pt>
                <c:pt idx="55">
                  <c:v>362614.19</c:v>
                </c:pt>
                <c:pt idx="56">
                  <c:v>8004.81</c:v>
                </c:pt>
                <c:pt idx="57">
                  <c:v>72059.960000000006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F-4120-9B51-488F6C5C9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910208"/>
        <c:axId val="680983440"/>
      </c:scatterChart>
      <c:valAx>
        <c:axId val="129391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RAM</a:t>
                </a:r>
                <a:r>
                  <a:rPr lang="en-US" baseline="0"/>
                  <a:t> (GB)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83440"/>
        <c:crosses val="autoZero"/>
        <c:crossBetween val="midCat"/>
      </c:valAx>
      <c:valAx>
        <c:axId val="6809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Discounted Price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1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</a:t>
            </a:r>
            <a:r>
              <a:rPr lang="en-US" baseline="0"/>
              <a:t> VS Discounted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Sheet2!$C$3:$C$60</c:f>
              <c:numCache>
                <c:formatCode>General</c:formatCode>
                <c:ptCount val="58"/>
                <c:pt idx="0">
                  <c:v>1000</c:v>
                </c:pt>
                <c:pt idx="1">
                  <c:v>24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1000</c:v>
                </c:pt>
                <c:pt idx="6">
                  <c:v>1000</c:v>
                </c:pt>
                <c:pt idx="7">
                  <c:v>512</c:v>
                </c:pt>
                <c:pt idx="8">
                  <c:v>512</c:v>
                </c:pt>
                <c:pt idx="9">
                  <c:v>512</c:v>
                </c:pt>
                <c:pt idx="10">
                  <c:v>8</c:v>
                </c:pt>
                <c:pt idx="11">
                  <c:v>512</c:v>
                </c:pt>
                <c:pt idx="12">
                  <c:v>1000</c:v>
                </c:pt>
                <c:pt idx="14">
                  <c:v>32</c:v>
                </c:pt>
                <c:pt idx="15">
                  <c:v>512</c:v>
                </c:pt>
                <c:pt idx="16">
                  <c:v>512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16</c:v>
                </c:pt>
                <c:pt idx="21">
                  <c:v>16</c:v>
                </c:pt>
                <c:pt idx="23">
                  <c:v>1000</c:v>
                </c:pt>
                <c:pt idx="24">
                  <c:v>2000</c:v>
                </c:pt>
                <c:pt idx="25">
                  <c:v>1000</c:v>
                </c:pt>
                <c:pt idx="26">
                  <c:v>256</c:v>
                </c:pt>
                <c:pt idx="27">
                  <c:v>512</c:v>
                </c:pt>
                <c:pt idx="28">
                  <c:v>1000</c:v>
                </c:pt>
                <c:pt idx="29">
                  <c:v>2000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512</c:v>
                </c:pt>
                <c:pt idx="34">
                  <c:v>1000</c:v>
                </c:pt>
                <c:pt idx="35">
                  <c:v>512</c:v>
                </c:pt>
                <c:pt idx="37">
                  <c:v>16</c:v>
                </c:pt>
                <c:pt idx="38">
                  <c:v>1000</c:v>
                </c:pt>
                <c:pt idx="39">
                  <c:v>8</c:v>
                </c:pt>
                <c:pt idx="40">
                  <c:v>16</c:v>
                </c:pt>
                <c:pt idx="41">
                  <c:v>1000</c:v>
                </c:pt>
                <c:pt idx="42">
                  <c:v>16</c:v>
                </c:pt>
                <c:pt idx="43">
                  <c:v>24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2000</c:v>
                </c:pt>
                <c:pt idx="49">
                  <c:v>256</c:v>
                </c:pt>
                <c:pt idx="50">
                  <c:v>512</c:v>
                </c:pt>
                <c:pt idx="51">
                  <c:v>1000</c:v>
                </c:pt>
                <c:pt idx="52">
                  <c:v>16</c:v>
                </c:pt>
                <c:pt idx="54">
                  <c:v>512</c:v>
                </c:pt>
                <c:pt idx="55">
                  <c:v>16</c:v>
                </c:pt>
              </c:numCache>
            </c:numRef>
          </c:xVal>
          <c:yVal>
            <c:numRef>
              <c:f>Sheet2!$B$3:$B$60</c:f>
              <c:numCache>
                <c:formatCode>General</c:formatCode>
                <c:ptCount val="58"/>
                <c:pt idx="0">
                  <c:v>401900.98</c:v>
                </c:pt>
                <c:pt idx="1">
                  <c:v>188476.23</c:v>
                </c:pt>
                <c:pt idx="2">
                  <c:v>155215.23000000001</c:v>
                </c:pt>
                <c:pt idx="3">
                  <c:v>182655.55</c:v>
                </c:pt>
                <c:pt idx="4">
                  <c:v>526629.73</c:v>
                </c:pt>
                <c:pt idx="5">
                  <c:v>706513.53</c:v>
                </c:pt>
                <c:pt idx="6">
                  <c:v>970109.73</c:v>
                </c:pt>
                <c:pt idx="7">
                  <c:v>360324.73</c:v>
                </c:pt>
                <c:pt idx="8">
                  <c:v>138584.73000000001</c:v>
                </c:pt>
                <c:pt idx="9">
                  <c:v>260541.73</c:v>
                </c:pt>
                <c:pt idx="10">
                  <c:v>374183.48</c:v>
                </c:pt>
                <c:pt idx="11">
                  <c:v>163524.93</c:v>
                </c:pt>
                <c:pt idx="12">
                  <c:v>748369.73</c:v>
                </c:pt>
                <c:pt idx="13">
                  <c:v>182655.55</c:v>
                </c:pt>
                <c:pt idx="14">
                  <c:v>493094.32</c:v>
                </c:pt>
                <c:pt idx="15">
                  <c:v>191247.98</c:v>
                </c:pt>
                <c:pt idx="16">
                  <c:v>110867.23</c:v>
                </c:pt>
                <c:pt idx="17">
                  <c:v>304615.32</c:v>
                </c:pt>
                <c:pt idx="18">
                  <c:v>527821.57999999996</c:v>
                </c:pt>
                <c:pt idx="19">
                  <c:v>629251</c:v>
                </c:pt>
                <c:pt idx="20">
                  <c:v>422689.1</c:v>
                </c:pt>
                <c:pt idx="21">
                  <c:v>527821.57999999996</c:v>
                </c:pt>
                <c:pt idx="22">
                  <c:v>527821.57999999996</c:v>
                </c:pt>
                <c:pt idx="23">
                  <c:v>442368.53</c:v>
                </c:pt>
                <c:pt idx="24">
                  <c:v>1247284.73</c:v>
                </c:pt>
                <c:pt idx="25">
                  <c:v>374183.48</c:v>
                </c:pt>
                <c:pt idx="26">
                  <c:v>66519.23</c:v>
                </c:pt>
                <c:pt idx="27">
                  <c:v>85921.48</c:v>
                </c:pt>
                <c:pt idx="28">
                  <c:v>516097.08</c:v>
                </c:pt>
                <c:pt idx="29">
                  <c:v>1662772.82</c:v>
                </c:pt>
                <c:pt idx="30">
                  <c:v>552964.12</c:v>
                </c:pt>
                <c:pt idx="31">
                  <c:v>498773.64</c:v>
                </c:pt>
                <c:pt idx="32">
                  <c:v>613088.93000000005</c:v>
                </c:pt>
                <c:pt idx="33">
                  <c:v>243911.23</c:v>
                </c:pt>
                <c:pt idx="34">
                  <c:v>1080979.73</c:v>
                </c:pt>
                <c:pt idx="35">
                  <c:v>138584.73000000001</c:v>
                </c:pt>
                <c:pt idx="36">
                  <c:v>410219</c:v>
                </c:pt>
                <c:pt idx="37">
                  <c:v>335104.58</c:v>
                </c:pt>
                <c:pt idx="38">
                  <c:v>277172.23</c:v>
                </c:pt>
                <c:pt idx="39">
                  <c:v>374183.48</c:v>
                </c:pt>
                <c:pt idx="40">
                  <c:v>182921.64</c:v>
                </c:pt>
                <c:pt idx="41">
                  <c:v>191247.98</c:v>
                </c:pt>
                <c:pt idx="42">
                  <c:v>376680.82</c:v>
                </c:pt>
                <c:pt idx="43">
                  <c:v>188476.23</c:v>
                </c:pt>
                <c:pt idx="44">
                  <c:v>191247.98</c:v>
                </c:pt>
                <c:pt idx="45">
                  <c:v>457053.26</c:v>
                </c:pt>
                <c:pt idx="46">
                  <c:v>202334.98</c:v>
                </c:pt>
                <c:pt idx="47">
                  <c:v>388042.23</c:v>
                </c:pt>
                <c:pt idx="48">
                  <c:v>942392.23</c:v>
                </c:pt>
                <c:pt idx="49">
                  <c:v>91462.21</c:v>
                </c:pt>
                <c:pt idx="50">
                  <c:v>263313.48</c:v>
                </c:pt>
                <c:pt idx="51">
                  <c:v>859239.73</c:v>
                </c:pt>
                <c:pt idx="52">
                  <c:v>97008.48</c:v>
                </c:pt>
                <c:pt idx="53">
                  <c:v>1856795.32</c:v>
                </c:pt>
                <c:pt idx="54">
                  <c:v>362614.19</c:v>
                </c:pt>
                <c:pt idx="55">
                  <c:v>8004.81</c:v>
                </c:pt>
                <c:pt idx="56">
                  <c:v>72059.960000000006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BF-40E2-8C31-594764F68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30560"/>
        <c:axId val="681120720"/>
      </c:scatterChart>
      <c:valAx>
        <c:axId val="11628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Storage (GB)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20720"/>
        <c:crosses val="autoZero"/>
        <c:crossBetween val="midCat"/>
      </c:valAx>
      <c:valAx>
        <c:axId val="6811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Discounted Price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83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Ratings vs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Rating(0-5) 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yVal>
            <c:numRef>
              <c:f>Sheet2!$E$2:$E$60</c:f>
              <c:numCache>
                <c:formatCode>General</c:formatCode>
                <c:ptCount val="59"/>
                <c:pt idx="0">
                  <c:v>4.4000000000000004</c:v>
                </c:pt>
                <c:pt idx="1">
                  <c:v>4.4000000000000004</c:v>
                </c:pt>
                <c:pt idx="2">
                  <c:v>4.4000000000000004</c:v>
                </c:pt>
                <c:pt idx="3">
                  <c:v>4.7</c:v>
                </c:pt>
                <c:pt idx="4">
                  <c:v>4.8</c:v>
                </c:pt>
                <c:pt idx="5">
                  <c:v>3.9</c:v>
                </c:pt>
                <c:pt idx="6">
                  <c:v>4.3</c:v>
                </c:pt>
                <c:pt idx="7">
                  <c:v>5</c:v>
                </c:pt>
                <c:pt idx="8">
                  <c:v>0</c:v>
                </c:pt>
                <c:pt idx="9">
                  <c:v>4.5</c:v>
                </c:pt>
                <c:pt idx="10">
                  <c:v>5</c:v>
                </c:pt>
                <c:pt idx="11">
                  <c:v>3.7</c:v>
                </c:pt>
                <c:pt idx="12">
                  <c:v>4.5999999999999996</c:v>
                </c:pt>
                <c:pt idx="13">
                  <c:v>3.8</c:v>
                </c:pt>
                <c:pt idx="14">
                  <c:v>4.8</c:v>
                </c:pt>
                <c:pt idx="15">
                  <c:v>0</c:v>
                </c:pt>
                <c:pt idx="16">
                  <c:v>4.4000000000000004</c:v>
                </c:pt>
                <c:pt idx="17">
                  <c:v>3.8</c:v>
                </c:pt>
                <c:pt idx="18">
                  <c:v>3.6</c:v>
                </c:pt>
                <c:pt idx="19">
                  <c:v>4.3</c:v>
                </c:pt>
                <c:pt idx="20">
                  <c:v>4</c:v>
                </c:pt>
                <c:pt idx="21">
                  <c:v>4.3</c:v>
                </c:pt>
                <c:pt idx="22">
                  <c:v>4.3</c:v>
                </c:pt>
                <c:pt idx="23">
                  <c:v>4.3</c:v>
                </c:pt>
                <c:pt idx="24">
                  <c:v>3.9</c:v>
                </c:pt>
                <c:pt idx="25">
                  <c:v>3.8</c:v>
                </c:pt>
                <c:pt idx="26">
                  <c:v>4.5999999999999996</c:v>
                </c:pt>
                <c:pt idx="27">
                  <c:v>3.9</c:v>
                </c:pt>
                <c:pt idx="28">
                  <c:v>3.8</c:v>
                </c:pt>
                <c:pt idx="29">
                  <c:v>4.2</c:v>
                </c:pt>
                <c:pt idx="30">
                  <c:v>4.5999999999999996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4.3</c:v>
                </c:pt>
                <c:pt idx="35">
                  <c:v>5</c:v>
                </c:pt>
                <c:pt idx="36">
                  <c:v>3.8</c:v>
                </c:pt>
                <c:pt idx="37">
                  <c:v>4</c:v>
                </c:pt>
                <c:pt idx="38">
                  <c:v>0</c:v>
                </c:pt>
                <c:pt idx="39">
                  <c:v>4.2</c:v>
                </c:pt>
                <c:pt idx="40">
                  <c:v>3.7</c:v>
                </c:pt>
                <c:pt idx="41">
                  <c:v>5</c:v>
                </c:pt>
                <c:pt idx="42">
                  <c:v>4</c:v>
                </c:pt>
                <c:pt idx="43">
                  <c:v>5</c:v>
                </c:pt>
                <c:pt idx="44">
                  <c:v>4.4000000000000004</c:v>
                </c:pt>
                <c:pt idx="45">
                  <c:v>4</c:v>
                </c:pt>
                <c:pt idx="46">
                  <c:v>4.4000000000000004</c:v>
                </c:pt>
                <c:pt idx="47">
                  <c:v>4.0999999999999996</c:v>
                </c:pt>
                <c:pt idx="48">
                  <c:v>0</c:v>
                </c:pt>
                <c:pt idx="49">
                  <c:v>3.9</c:v>
                </c:pt>
                <c:pt idx="50">
                  <c:v>4.4000000000000004</c:v>
                </c:pt>
                <c:pt idx="51">
                  <c:v>4.5</c:v>
                </c:pt>
                <c:pt idx="52">
                  <c:v>4.0999999999999996</c:v>
                </c:pt>
                <c:pt idx="53">
                  <c:v>3.2</c:v>
                </c:pt>
                <c:pt idx="54">
                  <c:v>3</c:v>
                </c:pt>
                <c:pt idx="55">
                  <c:v>5</c:v>
                </c:pt>
                <c:pt idx="56">
                  <c:v>4.9000000000000004</c:v>
                </c:pt>
                <c:pt idx="57">
                  <c:v>4.5999999999999996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7-49D7-B7DB-2AB1F649D369}"/>
            </c:ext>
          </c:extLst>
        </c:ser>
        <c:ser>
          <c:idx val="2"/>
          <c:order val="1"/>
          <c:tx>
            <c:strRef>
              <c:f>'Amazon.com _ gaming laptops_dat'!$W:$W</c:f>
              <c:strCache>
                <c:ptCount val="1048576"/>
                <c:pt idx="0">
                  <c:v>Discount Percentage(%) </c:v>
                </c:pt>
                <c:pt idx="1">
                  <c:v>0.0</c:v>
                </c:pt>
                <c:pt idx="2">
                  <c:v>0.0</c:v>
                </c:pt>
                <c:pt idx="3">
                  <c:v>20.0</c:v>
                </c:pt>
                <c:pt idx="4">
                  <c:v>67.1</c:v>
                </c:pt>
                <c:pt idx="5">
                  <c:v>58.8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41.2</c:v>
                </c:pt>
                <c:pt idx="11">
                  <c:v>0.0</c:v>
                </c:pt>
                <c:pt idx="12">
                  <c:v>0.0</c:v>
                </c:pt>
                <c:pt idx="13">
                  <c:v>39.2</c:v>
                </c:pt>
                <c:pt idx="14">
                  <c:v>0.0</c:v>
                </c:pt>
                <c:pt idx="15">
                  <c:v>58.8</c:v>
                </c:pt>
                <c:pt idx="16">
                  <c:v>0.0</c:v>
                </c:pt>
                <c:pt idx="17">
                  <c:v>13.8</c:v>
                </c:pt>
                <c:pt idx="18">
                  <c:v>11.1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-138.0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15.4</c:v>
                </c:pt>
                <c:pt idx="31">
                  <c:v>0.0</c:v>
                </c:pt>
                <c:pt idx="32">
                  <c:v>5.0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40.0</c:v>
                </c:pt>
                <c:pt idx="43">
                  <c:v>23.3</c:v>
                </c:pt>
                <c:pt idx="44">
                  <c:v>0.0</c:v>
                </c:pt>
                <c:pt idx="45">
                  <c:v>20.0</c:v>
                </c:pt>
                <c:pt idx="46">
                  <c:v>23.3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41.1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40.9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BF7-49D7-B7DB-2AB1F649D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356160"/>
        <c:axId val="681181680"/>
      </c:scatterChart>
      <c:valAx>
        <c:axId val="116735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81680"/>
        <c:crosses val="autoZero"/>
        <c:crossBetween val="midCat"/>
      </c:valAx>
      <c:valAx>
        <c:axId val="6811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Ratings (0-5)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35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Laptop Price Distribution (Discounted Price)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sto MT" panose="02040603050505030304"/>
            </a:rPr>
            <a:t>Laptop Price Distribution (Discounted Price)</a:t>
          </a:r>
        </a:p>
      </cx:txPr>
    </cx:title>
    <cx:plotArea>
      <cx:plotAreaRegion>
        <cx:series layoutId="clusteredColumn" uniqueId="{00000000-920B-4923-928F-EDECF3B04975}">
          <cx:tx>
            <cx:txData>
              <cx:f>_xlchart.v1.0</cx:f>
              <cx:v>Discounted Price (PKR)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Price Range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sto MT" panose="02040603050505030304"/>
                </a:rPr>
                <a:t>Price Range </a:t>
              </a:r>
            </a:p>
          </cx:txPr>
        </cx:title>
        <cx:tickLabels/>
      </cx:axis>
      <cx:axis id="1" hidden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Calisto MT" panose="02040603050505030304"/>
                  </a:rPr>
                  <a:t>No. of  Products 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sto MT" panose="02040603050505030304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Laptop Discount Distribution (%)</cx:v>
        </cx:txData>
      </cx:tx>
    </cx:title>
    <cx:plotArea>
      <cx:plotAreaRegion>
        <cx:series layoutId="clusteredColumn" uniqueId="{00000001-BC80-456E-A125-B376CDA92D1F}">
          <cx:tx>
            <cx:txData>
              <cx:f>_xlchart.v1.2</cx:f>
              <cx:v>Discount Percentage(%)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Discount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sto MT" panose="02040603050505030304"/>
                </a:rPr>
                <a:t>Discount %</a:t>
              </a:r>
            </a:p>
          </cx:txPr>
        </cx:title>
        <cx:tickLabels/>
      </cx:axis>
      <cx:axis id="1" hidden="1">
        <cx:valScaling/>
        <cx:title>
          <cx:tx>
            <cx:txData>
              <cx:v>No. Of  Laptops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sto MT" panose="02040603050505030304"/>
                </a:rPr>
                <a:t>No. Of  Laptops 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45492</xdr:colOff>
      <xdr:row>14</xdr:row>
      <xdr:rowOff>0</xdr:rowOff>
    </xdr:from>
    <xdr:to>
      <xdr:col>18</xdr:col>
      <xdr:colOff>554182</xdr:colOff>
      <xdr:row>35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35EFA-6B09-4434-BBA7-2968CB454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29311</xdr:rowOff>
    </xdr:from>
    <xdr:to>
      <xdr:col>3</xdr:col>
      <xdr:colOff>16933</xdr:colOff>
      <xdr:row>38</xdr:row>
      <xdr:rowOff>183944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520E4-375A-4535-A9F3-D4EC56479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17318</xdr:colOff>
      <xdr:row>64</xdr:row>
      <xdr:rowOff>55692</xdr:rowOff>
    </xdr:to>
    <xdr:graphicFrame macro="">
      <xdr:nvGraphicFramePr>
        <xdr:cNvPr id="4" name="LaptopCategoryCountsChart">
          <a:extLst>
            <a:ext uri="{FF2B5EF4-FFF2-40B4-BE49-F238E27FC236}">
              <a16:creationId xmlns:a16="http://schemas.microsoft.com/office/drawing/2014/main" id="{F57A2DE2-6903-437C-A675-901B913C8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86590</xdr:colOff>
      <xdr:row>40</xdr:row>
      <xdr:rowOff>0</xdr:rowOff>
    </xdr:from>
    <xdr:to>
      <xdr:col>11</xdr:col>
      <xdr:colOff>816675</xdr:colOff>
      <xdr:row>65</xdr:row>
      <xdr:rowOff>26644</xdr:rowOff>
    </xdr:to>
    <xdr:graphicFrame macro="">
      <xdr:nvGraphicFramePr>
        <xdr:cNvPr id="5" name="MostCommonGPUModelChart">
          <a:extLst>
            <a:ext uri="{FF2B5EF4-FFF2-40B4-BE49-F238E27FC236}">
              <a16:creationId xmlns:a16="http://schemas.microsoft.com/office/drawing/2014/main" id="{F2FE7D66-8B34-48AC-8727-A1EC5B50A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62203</xdr:colOff>
      <xdr:row>40</xdr:row>
      <xdr:rowOff>435083</xdr:rowOff>
    </xdr:from>
    <xdr:to>
      <xdr:col>19</xdr:col>
      <xdr:colOff>461819</xdr:colOff>
      <xdr:row>92</xdr:row>
      <xdr:rowOff>92364</xdr:rowOff>
    </xdr:to>
    <xdr:graphicFrame macro="">
      <xdr:nvGraphicFramePr>
        <xdr:cNvPr id="6" name="RAMConfigurationFrequencyChart">
          <a:extLst>
            <a:ext uri="{FF2B5EF4-FFF2-40B4-BE49-F238E27FC236}">
              <a16:creationId xmlns:a16="http://schemas.microsoft.com/office/drawing/2014/main" id="{D8408D63-255A-45A2-8CB6-02E6C8560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2</xdr:col>
      <xdr:colOff>351610</xdr:colOff>
      <xdr:row>91</xdr:row>
      <xdr:rowOff>166585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DC88F7-AD15-4C9A-BA14-653ECB5CE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67</xdr:row>
      <xdr:rowOff>366888</xdr:rowOff>
    </xdr:from>
    <xdr:to>
      <xdr:col>7</xdr:col>
      <xdr:colOff>931334</xdr:colOff>
      <xdr:row>91</xdr:row>
      <xdr:rowOff>52550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FEBBC4F-D2E2-4F6B-AD04-64F67F324E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0020" y="13313268"/>
              <a:ext cx="7659794" cy="4090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84668</xdr:colOff>
      <xdr:row>68</xdr:row>
      <xdr:rowOff>14111</xdr:rowOff>
    </xdr:from>
    <xdr:to>
      <xdr:col>13</xdr:col>
      <xdr:colOff>762001</xdr:colOff>
      <xdr:row>91</xdr:row>
      <xdr:rowOff>28222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DiscountDistributionChart">
              <a:extLst>
                <a:ext uri="{FF2B5EF4-FFF2-40B4-BE49-F238E27FC236}">
                  <a16:creationId xmlns:a16="http://schemas.microsoft.com/office/drawing/2014/main" id="{E9E1C74A-B8A1-4AE6-8CEA-00C3FF6D6B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35208" y="13326251"/>
              <a:ext cx="7367693" cy="40527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5715000</xdr:colOff>
      <xdr:row>20</xdr:row>
      <xdr:rowOff>138545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82AF60-36DC-4169-8E9F-617B94F3E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0</xdr:colOff>
      <xdr:row>26</xdr:row>
      <xdr:rowOff>65310</xdr:rowOff>
    </xdr:from>
    <xdr:to>
      <xdr:col>21</xdr:col>
      <xdr:colOff>5704114</xdr:colOff>
      <xdr:row>40</xdr:row>
      <xdr:rowOff>457195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46A699-6DAE-40C3-A66C-4B9971615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2564</xdr:colOff>
      <xdr:row>45</xdr:row>
      <xdr:rowOff>86578</xdr:rowOff>
    </xdr:from>
    <xdr:to>
      <xdr:col>21</xdr:col>
      <xdr:colOff>5694946</xdr:colOff>
      <xdr:row>67</xdr:row>
      <xdr:rowOff>96378</xdr:rowOff>
    </xdr:to>
    <xdr:graphicFrame macro="">
      <xdr:nvGraphicFramePr>
        <xdr:cNvPr id="12" name="RatingsVsDiscountedPrice">
          <a:extLst>
            <a:ext uri="{FF2B5EF4-FFF2-40B4-BE49-F238E27FC236}">
              <a16:creationId xmlns:a16="http://schemas.microsoft.com/office/drawing/2014/main" id="{AAA2CD5E-BED8-44E0-A893-8D00429F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C47BBB-5C28-4B86-94B1-027E66B5250C}" name="Table15" displayName="Table15" ref="A2:C17" totalsRowShown="0">
  <autoFilter ref="A2:C17" xr:uid="{EDA51AC5-6332-4A8B-AF8C-0B3FC947D0B8}"/>
  <tableColumns count="3">
    <tableColumn id="1" xr3:uid="{7629DF09-61B8-45C5-AEB0-8EC619525A9D}" name="Variable "/>
    <tableColumn id="2" xr3:uid="{FBAE7F0D-D32C-4A7D-A4A8-D29224A39AAC}" name="Type "/>
    <tableColumn id="3" xr3:uid="{A28286B8-677B-4BF6-8B6C-511CE11B845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97EB5D-F3E3-41A1-8E5B-5EF5D5767006}" name="DataCompletenessSummary6" displayName="DataCompletenessSummary6" ref="E7:I35" totalsRowShown="0" dataDxfId="21">
  <autoFilter ref="E7:I35" xr:uid="{F401F4A6-EEC6-41D8-89F2-D7F31987261E}"/>
  <tableColumns count="5">
    <tableColumn id="1" xr3:uid="{257A1D14-DD2F-4911-8D51-A52E36D6B683}" name="Variables" dataDxfId="20"/>
    <tableColumn id="2" xr3:uid="{8C733B97-ECC0-41F0-8EFD-4F9AADC080EC}" name="Hidden/Not Hidden" dataDxfId="19"/>
    <tableColumn id="3" xr3:uid="{D2734E1C-2B5D-4F1E-B472-56E68B558AEB}" name="# of Missing Values " dataDxfId="18"/>
    <tableColumn id="4" xr3:uid="{6D2D5A29-56B5-480A-97E9-F63C617D718D}" name="Total Values " dataDxfId="17"/>
    <tableColumn id="5" xr3:uid="{26729C5D-B2A1-4AD1-931F-687C315821AB}" name="Missing Percentage(%)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594ED0-B6D9-43DF-8512-3E86E7817A2D}" name="Table11" displayName="Table11" ref="K2:P11" totalsRowShown="0" headerRowDxfId="15">
  <autoFilter ref="K2:P11" xr:uid="{7E594ED0-B6D9-43DF-8512-3E86E7817A2D}"/>
  <tableColumns count="6">
    <tableColumn id="1" xr3:uid="{2CBB3824-0CBE-4FF2-8706-6EBA8D728165}" name="Variable"/>
    <tableColumn id="2" xr3:uid="{EB964E3C-447F-4731-9A44-3C895E57419D}" name="Mean "/>
    <tableColumn id="3" xr3:uid="{C9EBAC90-3997-467D-8B49-DFC8CEB844C3}" name="Median "/>
    <tableColumn id="4" xr3:uid="{F1187590-3374-4A15-A4FC-49B359C5B089}" name="Min"/>
    <tableColumn id="5" xr3:uid="{12E0DCEC-6494-41BC-8E9E-A984A6AC56DD}" name="Max"/>
    <tableColumn id="6" xr3:uid="{B55E8EB5-6A2B-4884-8B62-9E8C4F1A0B38}" name="Std.Devi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ACA9AB-795F-4B31-A959-AD29F47EDBBE}" name="Table12" displayName="Table12" ref="E2:H5" totalsRowShown="0" headerRowDxfId="14" headerRowBorderDxfId="13">
  <autoFilter ref="E2:H5" xr:uid="{C6ACA9AB-795F-4B31-A959-AD29F47EDBBE}"/>
  <tableColumns count="4">
    <tableColumn id="1" xr3:uid="{ED01B252-BF25-4762-AC22-0EFDF6C2FA2C}" name="Metric"/>
    <tableColumn id="2" xr3:uid="{3EE47C70-E96F-4334-A839-A1FEE6D3C0F1}" name="Non-hidden"/>
    <tableColumn id="3" xr3:uid="{786B3762-25E9-44FB-A3C1-6AA62FF12B7D}" name="Hidden"/>
    <tableColumn id="4" xr3:uid="{4CBFEF07-1B95-4176-B13D-4B3821110B3E}" name="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DE48AD-C3DE-4D58-8862-889B7E148B4C}" name="LaptopCountByBrand" displayName="LaptopCountByBrand" ref="K15:M35" totalsRowShown="0" dataDxfId="11" headerRowBorderDxfId="12">
  <autoFilter ref="K15:M35" xr:uid="{44DE48AD-C3DE-4D58-8862-889B7E148B4C}"/>
  <sortState xmlns:xlrd2="http://schemas.microsoft.com/office/spreadsheetml/2017/richdata2" ref="K16:L35">
    <sortCondition descending="1" ref="L15:L35"/>
  </sortState>
  <tableColumns count="3">
    <tableColumn id="1" xr3:uid="{077F9053-FDC1-4AD3-B116-FE232960C5FC}" name="Brand" dataDxfId="10"/>
    <tableColumn id="2" xr3:uid="{4C2BE80A-A91F-4889-8830-323969778396}" name="Laptop Count" dataDxfId="9">
      <calculatedColumnFormula>COUNTIF('Amazon.com _ gaming laptops_dat'!$B$2:$B$59,K16)</calculatedColumnFormula>
    </tableColumn>
    <tableColumn id="3" xr3:uid="{12835CF9-46CC-404D-B31B-F37B7CA0F7EA}" name="Laptop Category" dataDxfId="8">
      <calculatedColumnFormula array="1">_xlfn.TEXTJOIN(", ",TRUE,_xlfn.UNIQUE(_xlfn._xlws.FILTER('Amazon.com _ gaming laptops_dat'!$D$2:$D$60,'Amazon.com _ gaming laptops_dat'!$B$2:$B$60=K16,"")))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AA382A-3B12-428E-834F-4207BD67D286}" name="LaptopCategoryCounts" displayName="LaptopCategoryCounts" ref="A42:B45" totalsRowShown="0" headerRowDxfId="7" dataDxfId="6" tableBorderDxfId="5">
  <autoFilter ref="A42:B45" xr:uid="{EAAA382A-3B12-428E-834F-4207BD67D286}"/>
  <tableColumns count="2">
    <tableColumn id="1" xr3:uid="{BDCF6A66-0287-46ED-8E13-9534CE14272C}" name="Laptop Category" dataDxfId="4"/>
    <tableColumn id="2" xr3:uid="{6E1ABC8F-9402-4690-9DD3-661F03136B51}" name="Laptop Count" dataDxfId="3">
      <calculatedColumnFormula>COUNTIF('Amazon.com _ gaming laptops_dat'!$D$2:$D$60,A43)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6CB63-506E-4A94-A2DD-0EB7F01ED75B}" name="Table1" displayName="Table1" ref="A20:B22" totalsRowShown="0">
  <autoFilter ref="A20:B22" xr:uid="{29D6CB63-506E-4A94-A2DD-0EB7F01ED75B}"/>
  <tableColumns count="2">
    <tableColumn id="1" xr3:uid="{FB78B1DF-7CE8-4B76-8955-D1D18BDC681B}" name="Discount Status" dataDxfId="2"/>
    <tableColumn id="2" xr3:uid="{26F312D1-1AC9-426D-9BCB-4A82F75FCC33}" name="Product Count">
      <calculatedColumnFormula>COUNTIF('Amazon.com _ gaming laptops_dat'!$X$2:$X$60,"No")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005061-0DC4-4F01-A5C6-57F336993B9D}" name="Table10" displayName="Table10" ref="E41:F52" totalsRowShown="0">
  <autoFilter ref="E41:F52" xr:uid="{7A005061-0DC4-4F01-A5C6-57F336993B9D}"/>
  <tableColumns count="2">
    <tableColumn id="1" xr3:uid="{D1A06F44-6675-41C9-814B-4BEB4A66481A}" name="GPU Model"/>
    <tableColumn id="2" xr3:uid="{D09846AF-137B-46BB-AD82-D3547786766B}" name="Laptop 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0F1DD3-46BA-4C58-A5FA-F84E5EEC2980}" name="Table3" displayName="Table3" ref="M42:N49" totalsRowShown="0" headerRowDxfId="1">
  <autoFilter ref="M42:N49" xr:uid="{0B0F1DD3-46BA-4C58-A5FA-F84E5EEC2980}"/>
  <sortState xmlns:xlrd2="http://schemas.microsoft.com/office/spreadsheetml/2017/richdata2" ref="M43:N49">
    <sortCondition ref="M42:M49"/>
  </sortState>
  <tableColumns count="2">
    <tableColumn id="1" xr3:uid="{034DC0ED-7227-4F37-8D95-6B3B2E42DFA8}" name="RAM (GB)"/>
    <tableColumn id="2" xr3:uid="{F80F6C5F-4BE7-4541-9A81-93B25CF17799}" name="Laptop 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90A91B-B603-400D-A934-3917B1ABA8EB}" name="Table9" displayName="Table9" ref="V22:V23" totalsRowShown="0">
  <autoFilter ref="V22:V23" xr:uid="{F790A91B-B603-400D-A934-3917B1ABA8EB}"/>
  <tableColumns count="1">
    <tableColumn id="2" xr3:uid="{C050BACC-F10F-443E-AFE4-D6C759B24BA0}" name="Correlation Between RAM and Discounted Price">
      <calculatedColumnFormula>CORREL(Sheet2!A2:A59,Sheet2!B2:B59)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3D1C0F-F87F-4544-A410-3249DC929D79}" name="Table8" displayName="Table8" ref="V68:V69" totalsRowShown="0">
  <autoFilter ref="V68:V69" xr:uid="{3C3D1C0F-F87F-4544-A410-3249DC929D79}"/>
  <tableColumns count="1">
    <tableColumn id="2" xr3:uid="{33232EC2-9759-4833-98F8-6D5C1E4397F2}" name="Correlation Between Ratings &amp; Discounted Percentage">
      <calculatedColumnFormula>CORREL('Amazon.com _ gaming laptops_dat'!S:S,'Amazon.com _ gaming laptops_dat'!W:W)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5C2671-7301-4F23-B590-E103089B44F6}" name="Table13" displayName="Table13" ref="V42:V43" totalsRowShown="0">
  <autoFilter ref="V42:V43" xr:uid="{205C2671-7301-4F23-B590-E103089B44F6}"/>
  <tableColumns count="1">
    <tableColumn id="1" xr3:uid="{A3F1C374-C207-46C4-8378-4AA17231E1D9}" name="Correlation Between Storage And Discounted Price " dataDxfId="0">
      <calculatedColumnFormula>CORREL('Amazon.com _ gaming laptops_dat'!H:H,'Amazon.com _ gaming laptops_dat'!U:U)</calculatedColumnFormula>
    </tableColumn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Slate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8994C31-9E52-40CF-B2B1-22A99FF45073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1b71a11b-13e4-4bc8-8db5-972e398523a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0E98762-99A9-4FFE-A36B-C66BBEA14CEC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cm-9nqdUsROhEARr1e3T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29C394B-8DF2-4CE0-9BA4-61FB9B7D910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2ed2203-d695-4631-9743-7d2a2b96d5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7E09-B4CC-4CD2-AAE2-6C5839AD6168}">
  <dimension ref="A1:BB62"/>
  <sheetViews>
    <sheetView tabSelected="1" topLeftCell="X1" zoomScale="91" zoomScaleNormal="122" workbookViewId="0">
      <selection activeCell="AA1" sqref="AA1:AA1048576"/>
    </sheetView>
  </sheetViews>
  <sheetFormatPr defaultColWidth="8.88671875" defaultRowHeight="13.8" x14ac:dyDescent="0.25"/>
  <cols>
    <col min="1" max="1" width="208.33203125" style="1" hidden="1" customWidth="1"/>
    <col min="2" max="2" width="14.88671875" style="1" bestFit="1" customWidth="1"/>
    <col min="3" max="3" width="35.109375" style="1" bestFit="1" customWidth="1"/>
    <col min="4" max="4" width="33.88671875" style="1" bestFit="1" customWidth="1"/>
    <col min="5" max="5" width="24" style="1" bestFit="1" customWidth="1"/>
    <col min="6" max="6" width="25.77734375" style="1" bestFit="1" customWidth="1"/>
    <col min="7" max="7" width="9.6640625" style="1" bestFit="1" customWidth="1"/>
    <col min="8" max="8" width="15.6640625" style="1" bestFit="1" customWidth="1"/>
    <col min="9" max="9" width="20.6640625" style="1" bestFit="1" customWidth="1"/>
    <col min="10" max="10" width="22" style="1" bestFit="1" customWidth="1"/>
    <col min="11" max="11" width="22" style="2" bestFit="1" customWidth="1"/>
    <col min="12" max="12" width="22.6640625" style="2" bestFit="1" customWidth="1"/>
    <col min="13" max="13" width="17.44140625" style="1" customWidth="1"/>
    <col min="14" max="14" width="20.33203125" style="1" customWidth="1"/>
    <col min="15" max="15" width="13" style="1" bestFit="1" customWidth="1"/>
    <col min="16" max="16" width="16.21875" style="1" customWidth="1"/>
    <col min="17" max="17" width="116.21875" style="1" bestFit="1" customWidth="1"/>
    <col min="18" max="18" width="18.21875" style="1" bestFit="1" customWidth="1"/>
    <col min="19" max="19" width="24.88671875" style="1" bestFit="1" customWidth="1"/>
    <col min="20" max="20" width="21.5546875" style="1" bestFit="1" customWidth="1"/>
    <col min="21" max="21" width="45.77734375" style="1" bestFit="1" customWidth="1"/>
    <col min="22" max="22" width="32.88671875" style="1" bestFit="1" customWidth="1"/>
    <col min="23" max="23" width="49.5546875" style="1" bestFit="1" customWidth="1"/>
    <col min="24" max="24" width="32.6640625" style="1" bestFit="1" customWidth="1"/>
    <col min="25" max="25" width="49.109375" style="1" bestFit="1" customWidth="1"/>
    <col min="26" max="26" width="45.44140625" style="1" bestFit="1" customWidth="1"/>
    <col min="27" max="27" width="32.21875" style="1" customWidth="1"/>
    <col min="28" max="28" width="63.44140625" style="1" customWidth="1"/>
    <col min="29" max="29" width="255.77734375" style="1" customWidth="1"/>
    <col min="30" max="30" width="8.88671875" style="1"/>
    <col min="33" max="16384" width="8.88671875" style="1"/>
  </cols>
  <sheetData>
    <row r="1" spans="1:54" s="33" customFormat="1" ht="50.4" x14ac:dyDescent="0.5">
      <c r="A1" s="29" t="s">
        <v>0</v>
      </c>
      <c r="B1" s="30" t="s">
        <v>375</v>
      </c>
      <c r="C1" s="30" t="s">
        <v>418</v>
      </c>
      <c r="D1" s="31" t="s">
        <v>373</v>
      </c>
      <c r="E1" s="30" t="s">
        <v>363</v>
      </c>
      <c r="F1" s="30" t="s">
        <v>124</v>
      </c>
      <c r="G1" s="30" t="s">
        <v>364</v>
      </c>
      <c r="H1" s="30" t="s">
        <v>334</v>
      </c>
      <c r="I1" s="30" t="s">
        <v>125</v>
      </c>
      <c r="J1" s="30" t="s">
        <v>127</v>
      </c>
      <c r="K1" s="30" t="s">
        <v>262</v>
      </c>
      <c r="L1" s="30" t="s">
        <v>260</v>
      </c>
      <c r="M1" s="30" t="s">
        <v>264</v>
      </c>
      <c r="N1" s="30" t="s">
        <v>365</v>
      </c>
      <c r="O1" s="30" t="s">
        <v>261</v>
      </c>
      <c r="P1" s="30" t="s">
        <v>123</v>
      </c>
      <c r="Q1" s="30" t="s">
        <v>126</v>
      </c>
      <c r="R1" s="30" t="s">
        <v>263</v>
      </c>
      <c r="S1" s="29" t="s">
        <v>426</v>
      </c>
      <c r="T1" s="29" t="s">
        <v>121</v>
      </c>
      <c r="U1" s="29" t="s">
        <v>366</v>
      </c>
      <c r="V1" s="29" t="s">
        <v>332</v>
      </c>
      <c r="W1" s="29" t="s">
        <v>367</v>
      </c>
      <c r="X1" s="29" t="s">
        <v>469</v>
      </c>
      <c r="Y1" s="29" t="s">
        <v>333</v>
      </c>
      <c r="Z1" s="32" t="s">
        <v>369</v>
      </c>
      <c r="AA1" s="32"/>
      <c r="AB1" s="29" t="s">
        <v>482</v>
      </c>
      <c r="AC1" s="29" t="s">
        <v>1</v>
      </c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</row>
    <row r="2" spans="1:54" ht="27.6" x14ac:dyDescent="0.25">
      <c r="A2" s="3" t="s">
        <v>427</v>
      </c>
      <c r="B2" s="4" t="s">
        <v>128</v>
      </c>
      <c r="C2" s="4" t="s">
        <v>129</v>
      </c>
      <c r="D2" s="4" t="str">
        <f t="shared" ref="D2:D33" si="0">IF(OR(ISNUMBER(SEARCH("charger",A2)),ISNUMBER(SEARCH("cable",A2)),ISNUMBER(SEARCH("adapter",A2)),ISNUMBER(SEARCH("dock",A2)),ISNUMBER(SEARCH("replacement",A2))),"Accessory / Other",IF(OR(J2="Dedicated",ISNUMBER(SEARCH("rtx",J2&amp;" "&amp;K2)),ISNUMBER(SEARCH("gtx",J2&amp;" "&amp;K2)),ISNUMBER(SEARCH("rx 5",J2&amp;" "&amp;K2)),ISNUMBER(SEARCH("rx 6",J2&amp;" "&amp;K2)),ISNUMBER(SEARCH("rx 7",J2&amp;" "&amp;K2)),ISNUMBER(SEARCH("rx 8",J2&amp;" "&amp;K2)),ISNUMBER(SEARCH("rx 9",J2&amp;" "&amp;K2)),AND(IFERROR(N2&gt;=120,FALSE),ISNUMBER(SEARCH("gaming",A2&amp;" "&amp;C2)))),"Gaming",IF(OR(ISNUMBER(SEARCH("thinkpad",C2)),ISNUMBER(SEARCH("latitude",C2)),ISNUMBER(SEARCH("probook",C2)),ISNUMBER(SEARCH("elitebook",C2)),ISNUMBER(SEARCH("office",A2&amp;" "&amp;Q2)),ISNUMBER(SEARCH("business",A2&amp;" "&amp;Q2)),AND(ISNUMBER(SEARCH("windows 11 pro",I2)),J2="Integrated")),"Office / Business",IF(OR(ISNUMBER(SEARCH("creator",A2&amp;" "&amp;Q2)),ISNUMBER(SEARCH("studio",A2&amp;" "&amp;C2)),ISNUMBER(SEARCH("workstation",A2&amp;" "&amp;C2)),ISNUMBER(SEARCH("precision",A2&amp;" "&amp;C2)),ISNUMBER(SEARCH("zbook",A2&amp;" "&amp;C2))),"Creator / Professional","Normal Use"))))</f>
        <v>Gaming</v>
      </c>
      <c r="E2" s="4">
        <v>16</v>
      </c>
      <c r="F2" s="4" t="s">
        <v>131</v>
      </c>
      <c r="G2" s="4">
        <v>16</v>
      </c>
      <c r="H2" s="4">
        <v>1000</v>
      </c>
      <c r="I2" s="4" t="s">
        <v>132</v>
      </c>
      <c r="J2" s="4" t="s">
        <v>133</v>
      </c>
      <c r="K2" s="4" t="s">
        <v>266</v>
      </c>
      <c r="L2" s="4" t="s">
        <v>265</v>
      </c>
      <c r="M2" s="4" t="s">
        <v>268</v>
      </c>
      <c r="N2" s="4">
        <v>165</v>
      </c>
      <c r="O2" s="4" t="s">
        <v>311</v>
      </c>
      <c r="P2" s="4" t="s">
        <v>130</v>
      </c>
      <c r="Q2" s="4" t="s">
        <v>312</v>
      </c>
      <c r="R2" s="4" t="s">
        <v>267</v>
      </c>
      <c r="S2" s="3">
        <v>4.4000000000000004</v>
      </c>
      <c r="T2" s="3">
        <v>589</v>
      </c>
      <c r="U2" s="3">
        <v>438210.9</v>
      </c>
      <c r="V2" s="3">
        <v>438210.9</v>
      </c>
      <c r="W2" s="5">
        <f t="shared" ref="W2:W33" si="1">((V2-U2)/V2)*100</f>
        <v>0</v>
      </c>
      <c r="X2" s="5" t="str">
        <f t="shared" ref="X2:X33" si="2">IF(W2&gt;0,"Yes","No")</f>
        <v>No</v>
      </c>
      <c r="Y2" s="3">
        <v>25993.47</v>
      </c>
      <c r="Z2" s="6" t="s">
        <v>368</v>
      </c>
      <c r="AA2" s="6"/>
      <c r="AB2" s="3"/>
      <c r="AC2" s="3" t="s">
        <v>3</v>
      </c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27.6" x14ac:dyDescent="0.25">
      <c r="A3" s="3" t="s">
        <v>4</v>
      </c>
      <c r="B3" s="4" t="s">
        <v>134</v>
      </c>
      <c r="C3" s="4" t="s">
        <v>135</v>
      </c>
      <c r="D3" s="4" t="str">
        <f t="shared" si="0"/>
        <v>Gaming</v>
      </c>
      <c r="E3" s="4">
        <v>16</v>
      </c>
      <c r="F3" s="4" t="s">
        <v>137</v>
      </c>
      <c r="G3" s="4">
        <v>32</v>
      </c>
      <c r="H3" s="4">
        <v>1000</v>
      </c>
      <c r="I3" s="4" t="s">
        <v>132</v>
      </c>
      <c r="J3" s="4" t="s">
        <v>133</v>
      </c>
      <c r="K3" s="4" t="s">
        <v>266</v>
      </c>
      <c r="L3" s="4" t="s">
        <v>269</v>
      </c>
      <c r="M3" s="4" t="s">
        <v>269</v>
      </c>
      <c r="N3" s="4">
        <v>180</v>
      </c>
      <c r="O3" s="4" t="s">
        <v>311</v>
      </c>
      <c r="P3" s="4" t="s">
        <v>136</v>
      </c>
      <c r="Q3" s="4" t="s">
        <v>313</v>
      </c>
      <c r="R3" s="4" t="s">
        <v>270</v>
      </c>
      <c r="S3" s="3">
        <v>4.4000000000000004</v>
      </c>
      <c r="T3" s="3">
        <v>341</v>
      </c>
      <c r="U3" s="3">
        <v>401900.98</v>
      </c>
      <c r="V3" s="3">
        <v>401900.98</v>
      </c>
      <c r="W3" s="5">
        <f t="shared" si="1"/>
        <v>0</v>
      </c>
      <c r="X3" s="5" t="str">
        <f t="shared" si="2"/>
        <v>No</v>
      </c>
      <c r="Y3" s="3">
        <v>22853.08</v>
      </c>
      <c r="Z3" s="6" t="s">
        <v>368</v>
      </c>
      <c r="AA3" s="6"/>
      <c r="AB3" s="3"/>
      <c r="AC3" s="3" t="s">
        <v>5</v>
      </c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7.6" x14ac:dyDescent="0.25">
      <c r="A4" s="3" t="s">
        <v>335</v>
      </c>
      <c r="B4" s="4" t="s">
        <v>216</v>
      </c>
      <c r="C4" s="4" t="s">
        <v>374</v>
      </c>
      <c r="D4" s="4" t="str">
        <f t="shared" si="0"/>
        <v>Office / Business</v>
      </c>
      <c r="E4" s="4">
        <v>15.6</v>
      </c>
      <c r="F4" s="4" t="s">
        <v>232</v>
      </c>
      <c r="G4" s="4">
        <v>24</v>
      </c>
      <c r="H4" s="4">
        <v>24</v>
      </c>
      <c r="I4" s="4" t="s">
        <v>311</v>
      </c>
      <c r="J4" s="4" t="s">
        <v>311</v>
      </c>
      <c r="K4" s="4" t="s">
        <v>311</v>
      </c>
      <c r="L4" s="4" t="s">
        <v>265</v>
      </c>
      <c r="M4" s="4" t="s">
        <v>265</v>
      </c>
      <c r="N4" s="4"/>
      <c r="O4" s="4" t="s">
        <v>311</v>
      </c>
      <c r="P4" s="4" t="s">
        <v>311</v>
      </c>
      <c r="Q4" s="4" t="s">
        <v>357</v>
      </c>
      <c r="R4" s="4" t="s">
        <v>271</v>
      </c>
      <c r="S4" s="3">
        <v>4.4000000000000004</v>
      </c>
      <c r="T4" s="3">
        <v>11</v>
      </c>
      <c r="U4" s="3">
        <v>188476.23</v>
      </c>
      <c r="V4" s="3">
        <v>235595.98</v>
      </c>
      <c r="W4" s="5">
        <f t="shared" si="1"/>
        <v>20.000235148324684</v>
      </c>
      <c r="X4" s="5" t="str">
        <f t="shared" si="2"/>
        <v>Yes</v>
      </c>
      <c r="Y4" s="3">
        <v>19036.38</v>
      </c>
      <c r="Z4" s="6" t="s">
        <v>368</v>
      </c>
      <c r="AA4" s="6"/>
      <c r="AB4" s="3"/>
      <c r="AC4" s="3" t="s">
        <v>6</v>
      </c>
      <c r="AD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27.6" x14ac:dyDescent="0.25">
      <c r="A5" s="3" t="s">
        <v>7</v>
      </c>
      <c r="B5" s="4" t="s">
        <v>143</v>
      </c>
      <c r="C5" s="4" t="s">
        <v>144</v>
      </c>
      <c r="D5" s="4" t="str">
        <f t="shared" si="0"/>
        <v>Normal Use</v>
      </c>
      <c r="E5" s="4">
        <v>16</v>
      </c>
      <c r="F5" s="4" t="s">
        <v>146</v>
      </c>
      <c r="G5" s="4">
        <v>16</v>
      </c>
      <c r="H5" s="4">
        <v>512</v>
      </c>
      <c r="I5" s="4" t="s">
        <v>147</v>
      </c>
      <c r="J5" s="4" t="s">
        <v>142</v>
      </c>
      <c r="K5" s="4" t="s">
        <v>311</v>
      </c>
      <c r="L5" s="4" t="s">
        <v>265</v>
      </c>
      <c r="M5" s="4" t="s">
        <v>265</v>
      </c>
      <c r="N5" s="4"/>
      <c r="O5" s="4" t="s">
        <v>272</v>
      </c>
      <c r="P5" s="4" t="s">
        <v>145</v>
      </c>
      <c r="Q5" s="4" t="s">
        <v>314</v>
      </c>
      <c r="R5" s="4" t="s">
        <v>273</v>
      </c>
      <c r="S5" s="3">
        <v>4.7</v>
      </c>
      <c r="T5" s="3">
        <v>18</v>
      </c>
      <c r="U5" s="3">
        <v>155215.23000000001</v>
      </c>
      <c r="V5" s="3">
        <v>471194.73</v>
      </c>
      <c r="W5" s="5">
        <f t="shared" si="1"/>
        <v>67.059217746344487</v>
      </c>
      <c r="X5" s="5" t="str">
        <f t="shared" si="2"/>
        <v>Yes</v>
      </c>
      <c r="Y5" s="3">
        <v>18759.2</v>
      </c>
      <c r="Z5" s="6" t="s">
        <v>368</v>
      </c>
      <c r="AA5" s="6"/>
      <c r="AB5" s="3" t="s">
        <v>9</v>
      </c>
      <c r="AC5" s="3" t="s">
        <v>8</v>
      </c>
      <c r="AD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27.6" x14ac:dyDescent="0.25">
      <c r="A6" s="3" t="s">
        <v>10</v>
      </c>
      <c r="B6" s="4" t="s">
        <v>149</v>
      </c>
      <c r="C6" s="4" t="s">
        <v>150</v>
      </c>
      <c r="D6" s="4" t="str">
        <f t="shared" si="0"/>
        <v>Normal Use</v>
      </c>
      <c r="E6" s="4">
        <v>18.5</v>
      </c>
      <c r="F6" s="4" t="s">
        <v>152</v>
      </c>
      <c r="G6" s="4">
        <v>16</v>
      </c>
      <c r="H6" s="4">
        <v>512</v>
      </c>
      <c r="I6" s="4" t="s">
        <v>147</v>
      </c>
      <c r="J6" s="4" t="s">
        <v>142</v>
      </c>
      <c r="K6" s="4" t="s">
        <v>311</v>
      </c>
      <c r="L6" s="4" t="s">
        <v>311</v>
      </c>
      <c r="M6" s="4" t="s">
        <v>311</v>
      </c>
      <c r="N6" s="4"/>
      <c r="O6" s="4" t="s">
        <v>274</v>
      </c>
      <c r="P6" s="4" t="s">
        <v>151</v>
      </c>
      <c r="Q6" s="4" t="s">
        <v>350</v>
      </c>
      <c r="R6" s="4" t="s">
        <v>311</v>
      </c>
      <c r="S6" s="3">
        <v>4.8</v>
      </c>
      <c r="T6" s="3">
        <v>18</v>
      </c>
      <c r="U6" s="3">
        <v>182655.55</v>
      </c>
      <c r="V6" s="3">
        <v>443477.23</v>
      </c>
      <c r="W6" s="5">
        <f t="shared" si="1"/>
        <v>58.812868475795256</v>
      </c>
      <c r="X6" s="5" t="str">
        <f t="shared" si="2"/>
        <v>Yes</v>
      </c>
      <c r="Y6" s="3">
        <v>21996.61</v>
      </c>
      <c r="Z6" s="6" t="s">
        <v>368</v>
      </c>
      <c r="AA6" s="6"/>
      <c r="AB6" s="3" t="s">
        <v>12</v>
      </c>
      <c r="AC6" s="3" t="s">
        <v>11</v>
      </c>
      <c r="AD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27.6" x14ac:dyDescent="0.25">
      <c r="A7" s="3" t="s">
        <v>13</v>
      </c>
      <c r="B7" s="4" t="s">
        <v>143</v>
      </c>
      <c r="C7" s="4" t="s">
        <v>153</v>
      </c>
      <c r="D7" s="4" t="str">
        <f t="shared" si="0"/>
        <v>Normal Use</v>
      </c>
      <c r="E7" s="4">
        <v>16</v>
      </c>
      <c r="F7" s="4" t="s">
        <v>155</v>
      </c>
      <c r="G7" s="4">
        <v>24</v>
      </c>
      <c r="H7" s="4">
        <v>512</v>
      </c>
      <c r="I7" s="4" t="s">
        <v>147</v>
      </c>
      <c r="J7" s="4" t="s">
        <v>142</v>
      </c>
      <c r="K7" s="4" t="s">
        <v>277</v>
      </c>
      <c r="L7" s="4" t="s">
        <v>311</v>
      </c>
      <c r="M7" s="4" t="s">
        <v>311</v>
      </c>
      <c r="N7" s="4"/>
      <c r="O7" s="4" t="s">
        <v>276</v>
      </c>
      <c r="P7" s="4" t="s">
        <v>154</v>
      </c>
      <c r="Q7" s="4" t="s">
        <v>315</v>
      </c>
      <c r="R7" s="4" t="s">
        <v>278</v>
      </c>
      <c r="S7" s="3">
        <v>3.9</v>
      </c>
      <c r="T7" s="3">
        <v>26</v>
      </c>
      <c r="U7" s="3">
        <v>526629.73</v>
      </c>
      <c r="V7" s="3">
        <v>526629.73</v>
      </c>
      <c r="W7" s="5">
        <f t="shared" si="1"/>
        <v>0</v>
      </c>
      <c r="X7" s="5" t="str">
        <f t="shared" si="2"/>
        <v>No</v>
      </c>
      <c r="Y7" s="3">
        <v>19244.259999999998</v>
      </c>
      <c r="Z7" s="6" t="s">
        <v>368</v>
      </c>
      <c r="AA7" s="6"/>
      <c r="AB7" s="3" t="s">
        <v>15</v>
      </c>
      <c r="AC7" s="3" t="s">
        <v>14</v>
      </c>
      <c r="AD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27.6" x14ac:dyDescent="0.25">
      <c r="A8" s="3" t="s">
        <v>428</v>
      </c>
      <c r="B8" s="4" t="s">
        <v>128</v>
      </c>
      <c r="C8" s="4" t="s">
        <v>129</v>
      </c>
      <c r="D8" s="4" t="str">
        <f t="shared" si="0"/>
        <v>Gaming</v>
      </c>
      <c r="E8" s="4">
        <v>16</v>
      </c>
      <c r="F8" s="4" t="s">
        <v>158</v>
      </c>
      <c r="G8" s="4">
        <v>32</v>
      </c>
      <c r="H8" s="4">
        <v>1000</v>
      </c>
      <c r="I8" s="4" t="s">
        <v>132</v>
      </c>
      <c r="J8" s="4" t="s">
        <v>133</v>
      </c>
      <c r="K8" s="4" t="s">
        <v>280</v>
      </c>
      <c r="L8" s="4" t="s">
        <v>279</v>
      </c>
      <c r="M8" s="4" t="s">
        <v>311</v>
      </c>
      <c r="N8" s="4">
        <v>240</v>
      </c>
      <c r="O8" s="4" t="s">
        <v>311</v>
      </c>
      <c r="P8" s="4" t="s">
        <v>136</v>
      </c>
      <c r="Q8" s="4" t="s">
        <v>141</v>
      </c>
      <c r="R8" s="4" t="s">
        <v>267</v>
      </c>
      <c r="S8" s="3">
        <v>4.3</v>
      </c>
      <c r="T8" s="3">
        <v>225</v>
      </c>
      <c r="U8" s="3">
        <v>706513.53</v>
      </c>
      <c r="V8" s="3">
        <v>706513.53</v>
      </c>
      <c r="W8" s="5">
        <f t="shared" si="1"/>
        <v>0</v>
      </c>
      <c r="X8" s="5" t="str">
        <f t="shared" si="2"/>
        <v>No</v>
      </c>
      <c r="Y8" s="3">
        <v>25882.6</v>
      </c>
      <c r="Z8" s="6" t="s">
        <v>368</v>
      </c>
      <c r="AA8" s="6"/>
      <c r="AB8" s="3" t="s">
        <v>17</v>
      </c>
      <c r="AC8" s="3" t="s">
        <v>16</v>
      </c>
      <c r="AD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41.4" x14ac:dyDescent="0.25">
      <c r="A9" s="3" t="s">
        <v>18</v>
      </c>
      <c r="B9" s="4" t="s">
        <v>159</v>
      </c>
      <c r="C9" s="4" t="s">
        <v>160</v>
      </c>
      <c r="D9" s="4" t="str">
        <f t="shared" si="0"/>
        <v>Gaming</v>
      </c>
      <c r="E9" s="4">
        <v>16</v>
      </c>
      <c r="F9" s="4" t="s">
        <v>161</v>
      </c>
      <c r="G9" s="4">
        <v>32</v>
      </c>
      <c r="H9" s="4">
        <v>1000</v>
      </c>
      <c r="I9" s="4" t="s">
        <v>132</v>
      </c>
      <c r="J9" s="4" t="s">
        <v>162</v>
      </c>
      <c r="K9" s="4" t="s">
        <v>162</v>
      </c>
      <c r="L9" s="4" t="s">
        <v>311</v>
      </c>
      <c r="M9" s="4" t="s">
        <v>311</v>
      </c>
      <c r="N9" s="4"/>
      <c r="O9" s="4" t="s">
        <v>311</v>
      </c>
      <c r="P9" s="4" t="s">
        <v>136</v>
      </c>
      <c r="Q9" s="4" t="s">
        <v>372</v>
      </c>
      <c r="R9" s="4" t="s">
        <v>311</v>
      </c>
      <c r="S9" s="3">
        <v>5</v>
      </c>
      <c r="T9" s="3">
        <v>2</v>
      </c>
      <c r="U9" s="3">
        <v>970109.73</v>
      </c>
      <c r="V9" s="3">
        <v>970109.73</v>
      </c>
      <c r="W9" s="5">
        <f t="shared" si="1"/>
        <v>0</v>
      </c>
      <c r="X9" s="5" t="str">
        <f t="shared" si="2"/>
        <v>No</v>
      </c>
      <c r="Y9" s="3">
        <v>24225.1</v>
      </c>
      <c r="Z9" s="6" t="s">
        <v>371</v>
      </c>
      <c r="AA9" s="6"/>
      <c r="AB9" s="3" t="s">
        <v>20</v>
      </c>
      <c r="AC9" s="3" t="s">
        <v>19</v>
      </c>
      <c r="AD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27.6" x14ac:dyDescent="0.25">
      <c r="A10" s="3" t="s">
        <v>429</v>
      </c>
      <c r="B10" s="4" t="s">
        <v>128</v>
      </c>
      <c r="C10" s="4" t="s">
        <v>163</v>
      </c>
      <c r="D10" s="4" t="str">
        <f t="shared" si="0"/>
        <v>Gaming</v>
      </c>
      <c r="E10" s="4">
        <v>16</v>
      </c>
      <c r="F10" s="4" t="s">
        <v>164</v>
      </c>
      <c r="G10" s="4">
        <v>16</v>
      </c>
      <c r="H10" s="4">
        <v>512</v>
      </c>
      <c r="I10" s="4" t="s">
        <v>132</v>
      </c>
      <c r="J10" s="4" t="s">
        <v>133</v>
      </c>
      <c r="K10" s="4" t="s">
        <v>230</v>
      </c>
      <c r="L10" s="4" t="s">
        <v>265</v>
      </c>
      <c r="M10" s="4" t="s">
        <v>268</v>
      </c>
      <c r="N10" s="4">
        <v>165</v>
      </c>
      <c r="O10" s="4" t="s">
        <v>311</v>
      </c>
      <c r="P10" s="4" t="s">
        <v>130</v>
      </c>
      <c r="Q10" s="4" t="s">
        <v>316</v>
      </c>
      <c r="R10" s="4" t="s">
        <v>267</v>
      </c>
      <c r="S10" s="3"/>
      <c r="T10" s="3"/>
      <c r="U10" s="3">
        <v>360324.73</v>
      </c>
      <c r="V10" s="3">
        <v>360324.73</v>
      </c>
      <c r="W10" s="5">
        <f t="shared" si="1"/>
        <v>0</v>
      </c>
      <c r="X10" s="5" t="str">
        <f t="shared" si="2"/>
        <v>No</v>
      </c>
      <c r="Y10" s="3">
        <v>27434.78</v>
      </c>
      <c r="Z10" s="6" t="s">
        <v>368</v>
      </c>
      <c r="AA10" s="6"/>
      <c r="AB10" s="3" t="s">
        <v>22</v>
      </c>
      <c r="AC10" s="3" t="s">
        <v>21</v>
      </c>
      <c r="AD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27.6" x14ac:dyDescent="0.25">
      <c r="A11" s="3" t="s">
        <v>336</v>
      </c>
      <c r="B11" s="4" t="s">
        <v>149</v>
      </c>
      <c r="C11" s="4" t="s">
        <v>165</v>
      </c>
      <c r="D11" s="4" t="str">
        <f t="shared" si="0"/>
        <v>Normal Use</v>
      </c>
      <c r="E11" s="4">
        <v>15.6</v>
      </c>
      <c r="F11" s="4" t="s">
        <v>152</v>
      </c>
      <c r="G11" s="4">
        <v>16</v>
      </c>
      <c r="H11" s="4">
        <v>512</v>
      </c>
      <c r="I11" s="4" t="s">
        <v>140</v>
      </c>
      <c r="J11" s="4" t="s">
        <v>430</v>
      </c>
      <c r="K11" s="4" t="s">
        <v>282</v>
      </c>
      <c r="L11" s="4" t="s">
        <v>265</v>
      </c>
      <c r="M11" s="4" t="s">
        <v>265</v>
      </c>
      <c r="N11" s="4"/>
      <c r="O11" s="4" t="s">
        <v>281</v>
      </c>
      <c r="P11" s="4" t="s">
        <v>151</v>
      </c>
      <c r="Q11" s="4" t="s">
        <v>317</v>
      </c>
      <c r="R11" s="4" t="s">
        <v>278</v>
      </c>
      <c r="S11" s="3">
        <v>4.5</v>
      </c>
      <c r="T11" s="3">
        <v>20</v>
      </c>
      <c r="U11" s="3">
        <v>138584.73000000001</v>
      </c>
      <c r="V11" s="3">
        <v>235595.98</v>
      </c>
      <c r="W11" s="5">
        <f t="shared" si="1"/>
        <v>41.176954717139061</v>
      </c>
      <c r="X11" s="5" t="str">
        <f t="shared" si="2"/>
        <v>Yes</v>
      </c>
      <c r="Y11" s="3">
        <v>18415.509999999998</v>
      </c>
      <c r="Z11" s="6" t="s">
        <v>368</v>
      </c>
      <c r="AA11" s="6"/>
      <c r="AB11" s="3" t="s">
        <v>24</v>
      </c>
      <c r="AC11" s="3" t="s">
        <v>23</v>
      </c>
      <c r="AD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27.6" x14ac:dyDescent="0.25">
      <c r="A12" s="3" t="s">
        <v>25</v>
      </c>
      <c r="B12" s="4" t="s">
        <v>143</v>
      </c>
      <c r="C12" s="4" t="s">
        <v>144</v>
      </c>
      <c r="D12" s="4" t="str">
        <f t="shared" si="0"/>
        <v>Normal Use</v>
      </c>
      <c r="E12" s="4">
        <v>16</v>
      </c>
      <c r="F12" s="4" t="s">
        <v>146</v>
      </c>
      <c r="G12" s="4">
        <v>16</v>
      </c>
      <c r="H12" s="4">
        <v>512</v>
      </c>
      <c r="I12" s="4" t="s">
        <v>147</v>
      </c>
      <c r="J12" s="4" t="s">
        <v>142</v>
      </c>
      <c r="K12" s="4" t="s">
        <v>311</v>
      </c>
      <c r="L12" s="4" t="s">
        <v>265</v>
      </c>
      <c r="M12" s="4" t="s">
        <v>265</v>
      </c>
      <c r="N12" s="4"/>
      <c r="O12" s="4" t="s">
        <v>272</v>
      </c>
      <c r="P12" s="4" t="s">
        <v>145</v>
      </c>
      <c r="Q12" s="4" t="s">
        <v>314</v>
      </c>
      <c r="R12" s="4" t="s">
        <v>273</v>
      </c>
      <c r="S12" s="3">
        <v>5</v>
      </c>
      <c r="T12" s="3">
        <v>13</v>
      </c>
      <c r="U12" s="3">
        <v>260541.73</v>
      </c>
      <c r="V12" s="3">
        <v>260541.73</v>
      </c>
      <c r="W12" s="5">
        <f t="shared" si="1"/>
        <v>0</v>
      </c>
      <c r="X12" s="5" t="str">
        <f t="shared" si="2"/>
        <v>No</v>
      </c>
      <c r="Y12" s="3">
        <v>18759.2</v>
      </c>
      <c r="Z12" s="6" t="s">
        <v>368</v>
      </c>
      <c r="AA12" s="6"/>
      <c r="AB12" s="3" t="s">
        <v>27</v>
      </c>
      <c r="AC12" s="3" t="s">
        <v>26</v>
      </c>
      <c r="AD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27.6" x14ac:dyDescent="0.25">
      <c r="A13" s="3" t="s">
        <v>28</v>
      </c>
      <c r="B13" s="4" t="s">
        <v>134</v>
      </c>
      <c r="C13" s="4" t="s">
        <v>224</v>
      </c>
      <c r="D13" s="4" t="str">
        <f t="shared" si="0"/>
        <v>Gaming</v>
      </c>
      <c r="E13" s="4"/>
      <c r="F13" s="4" t="s">
        <v>233</v>
      </c>
      <c r="G13" s="4">
        <v>8</v>
      </c>
      <c r="H13" s="4">
        <v>8</v>
      </c>
      <c r="I13" s="4" t="s">
        <v>311</v>
      </c>
      <c r="J13" s="4" t="s">
        <v>230</v>
      </c>
      <c r="K13" s="4" t="s">
        <v>230</v>
      </c>
      <c r="L13" s="4" t="s">
        <v>269</v>
      </c>
      <c r="M13" s="4" t="s">
        <v>269</v>
      </c>
      <c r="N13" s="4">
        <v>165</v>
      </c>
      <c r="O13" s="4" t="s">
        <v>311</v>
      </c>
      <c r="P13" s="4" t="s">
        <v>311</v>
      </c>
      <c r="Q13" s="4" t="s">
        <v>358</v>
      </c>
      <c r="R13" s="4" t="s">
        <v>270</v>
      </c>
      <c r="S13" s="3">
        <v>3.7</v>
      </c>
      <c r="T13" s="3">
        <v>4</v>
      </c>
      <c r="U13" s="3">
        <v>374183.48</v>
      </c>
      <c r="V13" s="3">
        <v>374183.48</v>
      </c>
      <c r="W13" s="5">
        <f t="shared" si="1"/>
        <v>0</v>
      </c>
      <c r="X13" s="5" t="str">
        <f t="shared" si="2"/>
        <v>No</v>
      </c>
      <c r="Y13" s="3">
        <v>20488.78</v>
      </c>
      <c r="Z13" s="6" t="s">
        <v>368</v>
      </c>
      <c r="AA13" s="6"/>
      <c r="AB13" s="3" t="s">
        <v>30</v>
      </c>
      <c r="AC13" s="3" t="s">
        <v>29</v>
      </c>
      <c r="AD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27.6" x14ac:dyDescent="0.25">
      <c r="A14" s="3" t="s">
        <v>431</v>
      </c>
      <c r="B14" s="4" t="s">
        <v>143</v>
      </c>
      <c r="C14" s="4" t="s">
        <v>165</v>
      </c>
      <c r="D14" s="4" t="str">
        <f t="shared" si="0"/>
        <v>Office / Business</v>
      </c>
      <c r="E14" s="4">
        <v>15.6</v>
      </c>
      <c r="F14" s="4" t="s">
        <v>152</v>
      </c>
      <c r="G14" s="4">
        <v>16</v>
      </c>
      <c r="H14" s="4">
        <v>512</v>
      </c>
      <c r="I14" s="4" t="s">
        <v>140</v>
      </c>
      <c r="J14" s="4" t="s">
        <v>142</v>
      </c>
      <c r="K14" s="4" t="s">
        <v>311</v>
      </c>
      <c r="L14" s="4" t="s">
        <v>311</v>
      </c>
      <c r="M14" s="4" t="s">
        <v>311</v>
      </c>
      <c r="N14" s="4"/>
      <c r="O14" s="4" t="s">
        <v>272</v>
      </c>
      <c r="P14" s="4" t="s">
        <v>168</v>
      </c>
      <c r="Q14" s="4" t="s">
        <v>318</v>
      </c>
      <c r="R14" s="4" t="s">
        <v>311</v>
      </c>
      <c r="S14" s="3">
        <v>4.5999999999999996</v>
      </c>
      <c r="T14" s="3">
        <v>16</v>
      </c>
      <c r="U14" s="3">
        <v>163524.93</v>
      </c>
      <c r="V14" s="3">
        <v>268856.98</v>
      </c>
      <c r="W14" s="5">
        <f t="shared" si="1"/>
        <v>39.1777256443184</v>
      </c>
      <c r="X14" s="5" t="str">
        <f t="shared" si="2"/>
        <v>Yes</v>
      </c>
      <c r="Y14" s="3">
        <v>18554.09</v>
      </c>
      <c r="Z14" s="6" t="s">
        <v>368</v>
      </c>
      <c r="AA14" s="6"/>
      <c r="AB14" s="3" t="s">
        <v>33</v>
      </c>
      <c r="AC14" s="3" t="s">
        <v>32</v>
      </c>
      <c r="AD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27.6" x14ac:dyDescent="0.25">
      <c r="A15" s="3" t="s">
        <v>432</v>
      </c>
      <c r="B15" s="4" t="s">
        <v>156</v>
      </c>
      <c r="C15" s="4" t="s">
        <v>169</v>
      </c>
      <c r="D15" s="4" t="str">
        <f t="shared" si="0"/>
        <v>Gaming</v>
      </c>
      <c r="E15" s="4">
        <v>18</v>
      </c>
      <c r="F15" s="4" t="s">
        <v>139</v>
      </c>
      <c r="G15" s="4">
        <v>32</v>
      </c>
      <c r="H15" s="4">
        <v>1000</v>
      </c>
      <c r="I15" s="4" t="s">
        <v>132</v>
      </c>
      <c r="J15" s="4" t="s">
        <v>170</v>
      </c>
      <c r="K15" s="4" t="s">
        <v>284</v>
      </c>
      <c r="L15" s="4" t="s">
        <v>283</v>
      </c>
      <c r="M15" s="4" t="s">
        <v>285</v>
      </c>
      <c r="N15" s="4">
        <v>240</v>
      </c>
      <c r="O15" s="4" t="s">
        <v>311</v>
      </c>
      <c r="P15" s="4" t="s">
        <v>157</v>
      </c>
      <c r="Q15" s="4" t="s">
        <v>319</v>
      </c>
      <c r="R15" s="4" t="s">
        <v>267</v>
      </c>
      <c r="S15" s="3">
        <v>3.8</v>
      </c>
      <c r="T15" s="3">
        <v>27</v>
      </c>
      <c r="U15" s="3">
        <v>748369.73</v>
      </c>
      <c r="V15" s="3">
        <v>748369.73</v>
      </c>
      <c r="W15" s="5">
        <f t="shared" si="1"/>
        <v>0</v>
      </c>
      <c r="X15" s="5" t="str">
        <f t="shared" si="2"/>
        <v>No</v>
      </c>
      <c r="Y15" s="3">
        <v>31830.78</v>
      </c>
      <c r="Z15" s="6" t="s">
        <v>368</v>
      </c>
      <c r="AA15" s="6"/>
      <c r="AB15" s="3" t="s">
        <v>35</v>
      </c>
      <c r="AC15" s="3" t="s">
        <v>34</v>
      </c>
      <c r="AD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27.6" x14ac:dyDescent="0.25">
      <c r="A16" s="3" t="s">
        <v>10</v>
      </c>
      <c r="B16" s="4" t="s">
        <v>311</v>
      </c>
      <c r="C16" s="4" t="s">
        <v>311</v>
      </c>
      <c r="D16" s="4" t="str">
        <f t="shared" si="0"/>
        <v>Normal Use</v>
      </c>
      <c r="E16" s="4">
        <v>18.5</v>
      </c>
      <c r="F16" s="4" t="s">
        <v>234</v>
      </c>
      <c r="G16" s="4"/>
      <c r="H16" s="4"/>
      <c r="I16" s="4" t="s">
        <v>311</v>
      </c>
      <c r="J16" s="4" t="s">
        <v>311</v>
      </c>
      <c r="K16" s="4" t="s">
        <v>311</v>
      </c>
      <c r="L16" s="4" t="s">
        <v>311</v>
      </c>
      <c r="M16" s="4" t="s">
        <v>311</v>
      </c>
      <c r="N16" s="4"/>
      <c r="O16" s="4" t="s">
        <v>274</v>
      </c>
      <c r="P16" s="4" t="s">
        <v>311</v>
      </c>
      <c r="Q16" s="4" t="s">
        <v>275</v>
      </c>
      <c r="R16" s="4" t="s">
        <v>311</v>
      </c>
      <c r="S16" s="3">
        <v>4.8</v>
      </c>
      <c r="T16" s="3">
        <v>18</v>
      </c>
      <c r="U16" s="3">
        <v>182655.55</v>
      </c>
      <c r="V16" s="3">
        <v>443477.23</v>
      </c>
      <c r="W16" s="5">
        <f t="shared" si="1"/>
        <v>58.812868475795256</v>
      </c>
      <c r="X16" s="5" t="str">
        <f t="shared" si="2"/>
        <v>Yes</v>
      </c>
      <c r="Y16" s="3">
        <v>21996.61</v>
      </c>
      <c r="Z16" s="6" t="s">
        <v>368</v>
      </c>
      <c r="AA16" s="6"/>
      <c r="AB16" s="3" t="s">
        <v>12</v>
      </c>
      <c r="AC16" s="3" t="s">
        <v>36</v>
      </c>
      <c r="AD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27.6" x14ac:dyDescent="0.25">
      <c r="A17" s="3" t="s">
        <v>37</v>
      </c>
      <c r="B17" s="4" t="s">
        <v>235</v>
      </c>
      <c r="C17" s="4" t="s">
        <v>236</v>
      </c>
      <c r="D17" s="4" t="str">
        <f t="shared" si="0"/>
        <v>Office / Business</v>
      </c>
      <c r="E17" s="4"/>
      <c r="F17" s="4" t="s">
        <v>237</v>
      </c>
      <c r="G17" s="4">
        <v>32</v>
      </c>
      <c r="H17" s="4">
        <v>32</v>
      </c>
      <c r="I17" s="4" t="s">
        <v>140</v>
      </c>
      <c r="J17" s="4" t="s">
        <v>311</v>
      </c>
      <c r="K17" s="4" t="s">
        <v>311</v>
      </c>
      <c r="L17" s="4" t="s">
        <v>269</v>
      </c>
      <c r="M17" s="4" t="s">
        <v>269</v>
      </c>
      <c r="N17" s="4"/>
      <c r="O17" s="4" t="s">
        <v>311</v>
      </c>
      <c r="P17" s="4" t="s">
        <v>311</v>
      </c>
      <c r="Q17" s="4" t="s">
        <v>359</v>
      </c>
      <c r="R17" s="4" t="s">
        <v>286</v>
      </c>
      <c r="S17" s="3">
        <v>0</v>
      </c>
      <c r="T17" s="3">
        <v>0</v>
      </c>
      <c r="U17" s="3">
        <v>493094.32</v>
      </c>
      <c r="V17" s="3">
        <v>493094.32</v>
      </c>
      <c r="W17" s="5">
        <f t="shared" si="1"/>
        <v>0</v>
      </c>
      <c r="X17" s="5" t="str">
        <f t="shared" si="2"/>
        <v>No</v>
      </c>
      <c r="Y17" s="3">
        <v>21115.19</v>
      </c>
      <c r="Z17" s="6" t="s">
        <v>368</v>
      </c>
      <c r="AA17" s="6"/>
      <c r="AB17" s="3" t="s">
        <v>39</v>
      </c>
      <c r="AC17" s="3" t="s">
        <v>38</v>
      </c>
      <c r="AD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x14ac:dyDescent="0.25">
      <c r="A18" s="3" t="s">
        <v>40</v>
      </c>
      <c r="B18" s="4" t="s">
        <v>149</v>
      </c>
      <c r="C18" s="4" t="s">
        <v>153</v>
      </c>
      <c r="D18" s="4" t="str">
        <f t="shared" si="0"/>
        <v>Office / Business</v>
      </c>
      <c r="E18" s="4">
        <v>16</v>
      </c>
      <c r="F18" s="4" t="s">
        <v>155</v>
      </c>
      <c r="G18" s="4">
        <v>24</v>
      </c>
      <c r="H18" s="4">
        <v>512</v>
      </c>
      <c r="I18" s="4" t="s">
        <v>140</v>
      </c>
      <c r="J18" s="4" t="s">
        <v>142</v>
      </c>
      <c r="K18" s="4" t="s">
        <v>311</v>
      </c>
      <c r="L18" s="4" t="s">
        <v>311</v>
      </c>
      <c r="M18" s="4" t="s">
        <v>311</v>
      </c>
      <c r="N18" s="4"/>
      <c r="O18" s="4" t="s">
        <v>287</v>
      </c>
      <c r="P18" s="4" t="s">
        <v>172</v>
      </c>
      <c r="Q18" s="4" t="s">
        <v>320</v>
      </c>
      <c r="R18" s="4" t="s">
        <v>311</v>
      </c>
      <c r="S18" s="3">
        <v>4.4000000000000004</v>
      </c>
      <c r="T18" s="3">
        <v>41</v>
      </c>
      <c r="U18" s="3">
        <v>191247.98</v>
      </c>
      <c r="V18" s="3">
        <v>221737.23</v>
      </c>
      <c r="W18" s="5">
        <f t="shared" si="1"/>
        <v>13.750171768629022</v>
      </c>
      <c r="X18" s="5" t="str">
        <f t="shared" si="2"/>
        <v>Yes</v>
      </c>
      <c r="Y18" s="3">
        <v>19382.849999999999</v>
      </c>
      <c r="Z18" s="6"/>
      <c r="AA18" s="6"/>
      <c r="AB18" s="3" t="s">
        <v>42</v>
      </c>
      <c r="AC18" s="3" t="s">
        <v>41</v>
      </c>
      <c r="AD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x14ac:dyDescent="0.25">
      <c r="A19" s="3" t="s">
        <v>337</v>
      </c>
      <c r="B19" s="4" t="s">
        <v>174</v>
      </c>
      <c r="C19" s="4" t="s">
        <v>338</v>
      </c>
      <c r="D19" s="4" t="str">
        <f t="shared" si="0"/>
        <v>Office / Business</v>
      </c>
      <c r="E19" s="4">
        <v>15.6</v>
      </c>
      <c r="F19" s="4" t="s">
        <v>131</v>
      </c>
      <c r="G19" s="4">
        <v>16</v>
      </c>
      <c r="H19" s="4">
        <v>512</v>
      </c>
      <c r="I19" s="4" t="s">
        <v>140</v>
      </c>
      <c r="J19" s="4" t="s">
        <v>142</v>
      </c>
      <c r="K19" s="4" t="s">
        <v>311</v>
      </c>
      <c r="L19" s="4" t="s">
        <v>311</v>
      </c>
      <c r="M19" s="4" t="s">
        <v>311</v>
      </c>
      <c r="N19" s="4"/>
      <c r="O19" s="4" t="s">
        <v>311</v>
      </c>
      <c r="P19" s="4" t="s">
        <v>157</v>
      </c>
      <c r="Q19" s="4" t="s">
        <v>321</v>
      </c>
      <c r="R19" s="4" t="s">
        <v>311</v>
      </c>
      <c r="S19" s="3">
        <v>3.8</v>
      </c>
      <c r="T19" s="3">
        <v>56</v>
      </c>
      <c r="U19" s="3">
        <v>110867.23</v>
      </c>
      <c r="V19" s="3">
        <v>124725.98</v>
      </c>
      <c r="W19" s="5">
        <f t="shared" si="1"/>
        <v>11.111357874277678</v>
      </c>
      <c r="X19" s="5" t="str">
        <f t="shared" si="2"/>
        <v>Yes</v>
      </c>
      <c r="Y19" s="3">
        <v>14748.48</v>
      </c>
      <c r="Z19" s="6" t="s">
        <v>368</v>
      </c>
      <c r="AA19" s="6"/>
      <c r="AB19" s="3" t="s">
        <v>44</v>
      </c>
      <c r="AC19" s="3" t="s">
        <v>43</v>
      </c>
      <c r="AD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27.6" x14ac:dyDescent="0.25">
      <c r="A20" s="3" t="s">
        <v>351</v>
      </c>
      <c r="B20" s="4" t="s">
        <v>148</v>
      </c>
      <c r="C20" s="4" t="s">
        <v>175</v>
      </c>
      <c r="D20" s="4" t="str">
        <f t="shared" si="0"/>
        <v>Gaming</v>
      </c>
      <c r="E20" s="4">
        <v>16</v>
      </c>
      <c r="F20" s="4" t="s">
        <v>137</v>
      </c>
      <c r="G20" s="4">
        <v>16</v>
      </c>
      <c r="H20" s="4">
        <v>1000</v>
      </c>
      <c r="I20" s="4" t="s">
        <v>132</v>
      </c>
      <c r="J20" s="4" t="s">
        <v>133</v>
      </c>
      <c r="K20" s="4" t="s">
        <v>289</v>
      </c>
      <c r="L20" s="4" t="s">
        <v>288</v>
      </c>
      <c r="M20" s="4" t="s">
        <v>244</v>
      </c>
      <c r="N20" s="4">
        <v>120</v>
      </c>
      <c r="O20" s="4" t="s">
        <v>311</v>
      </c>
      <c r="P20" s="4" t="s">
        <v>176</v>
      </c>
      <c r="Q20" s="4" t="s">
        <v>177</v>
      </c>
      <c r="R20" s="4" t="s">
        <v>311</v>
      </c>
      <c r="S20" s="3">
        <v>3.6</v>
      </c>
      <c r="T20" s="3">
        <v>30</v>
      </c>
      <c r="U20" s="3">
        <v>304615.32</v>
      </c>
      <c r="V20" s="3">
        <v>304615.32</v>
      </c>
      <c r="W20" s="5">
        <f t="shared" si="1"/>
        <v>0</v>
      </c>
      <c r="X20" s="5" t="str">
        <f t="shared" si="2"/>
        <v>No</v>
      </c>
      <c r="Y20" s="3">
        <v>27448.639999999999</v>
      </c>
      <c r="Z20" s="6" t="s">
        <v>368</v>
      </c>
      <c r="AA20" s="6"/>
      <c r="AB20" s="3" t="s">
        <v>46</v>
      </c>
      <c r="AC20" s="3" t="s">
        <v>45</v>
      </c>
      <c r="AD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7.6" x14ac:dyDescent="0.25">
      <c r="A21" s="3" t="s">
        <v>433</v>
      </c>
      <c r="B21" s="4" t="s">
        <v>148</v>
      </c>
      <c r="C21" s="4" t="s">
        <v>178</v>
      </c>
      <c r="D21" s="4" t="str">
        <f t="shared" si="0"/>
        <v>Gaming</v>
      </c>
      <c r="E21" s="4">
        <v>15.1</v>
      </c>
      <c r="F21" s="4" t="s">
        <v>131</v>
      </c>
      <c r="G21" s="4">
        <v>16</v>
      </c>
      <c r="H21" s="4">
        <v>1000</v>
      </c>
      <c r="I21" s="4" t="s">
        <v>132</v>
      </c>
      <c r="J21" s="4" t="s">
        <v>133</v>
      </c>
      <c r="K21" s="4" t="s">
        <v>203</v>
      </c>
      <c r="L21" s="4" t="s">
        <v>279</v>
      </c>
      <c r="M21" s="4" t="s">
        <v>290</v>
      </c>
      <c r="N21" s="4">
        <v>165</v>
      </c>
      <c r="O21" s="4" t="s">
        <v>311</v>
      </c>
      <c r="P21" s="4" t="s">
        <v>179</v>
      </c>
      <c r="Q21" s="4" t="s">
        <v>322</v>
      </c>
      <c r="R21" s="4" t="s">
        <v>311</v>
      </c>
      <c r="S21" s="3">
        <v>4.3</v>
      </c>
      <c r="T21" s="3">
        <v>97</v>
      </c>
      <c r="U21" s="3">
        <v>527821.57999999996</v>
      </c>
      <c r="V21" s="3">
        <v>527821.57999999996</v>
      </c>
      <c r="W21" s="5">
        <f t="shared" si="1"/>
        <v>0</v>
      </c>
      <c r="X21" s="5" t="str">
        <f t="shared" si="2"/>
        <v>No</v>
      </c>
      <c r="Y21" s="3">
        <v>21112.42</v>
      </c>
      <c r="Z21" s="6" t="s">
        <v>368</v>
      </c>
      <c r="AA21" s="6"/>
      <c r="AB21" s="3" t="s">
        <v>48</v>
      </c>
      <c r="AC21" s="3" t="s">
        <v>47</v>
      </c>
      <c r="AD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7.6" x14ac:dyDescent="0.25">
      <c r="A22" s="3" t="s">
        <v>434</v>
      </c>
      <c r="B22" s="4" t="s">
        <v>156</v>
      </c>
      <c r="C22" s="4" t="s">
        <v>180</v>
      </c>
      <c r="D22" s="4" t="str">
        <f t="shared" si="0"/>
        <v>Gaming</v>
      </c>
      <c r="E22" s="4">
        <v>15.6</v>
      </c>
      <c r="F22" s="4" t="s">
        <v>161</v>
      </c>
      <c r="G22" s="4">
        <v>32</v>
      </c>
      <c r="H22" s="4">
        <v>1000</v>
      </c>
      <c r="I22" s="4" t="s">
        <v>132</v>
      </c>
      <c r="J22" s="4" t="s">
        <v>181</v>
      </c>
      <c r="K22" s="4" t="s">
        <v>291</v>
      </c>
      <c r="L22" s="4" t="s">
        <v>283</v>
      </c>
      <c r="M22" s="4" t="s">
        <v>285</v>
      </c>
      <c r="N22" s="4">
        <v>165</v>
      </c>
      <c r="O22" s="4" t="s">
        <v>311</v>
      </c>
      <c r="P22" s="4" t="s">
        <v>136</v>
      </c>
      <c r="Q22" s="4" t="s">
        <v>323</v>
      </c>
      <c r="R22" s="4" t="s">
        <v>311</v>
      </c>
      <c r="S22" s="3">
        <v>4</v>
      </c>
      <c r="T22" s="3">
        <v>348</v>
      </c>
      <c r="U22" s="3">
        <v>629251</v>
      </c>
      <c r="V22" s="3">
        <v>629251</v>
      </c>
      <c r="W22" s="5">
        <f t="shared" si="1"/>
        <v>0</v>
      </c>
      <c r="X22" s="5" t="str">
        <f t="shared" si="2"/>
        <v>No</v>
      </c>
      <c r="Y22" s="3">
        <v>24225.1</v>
      </c>
      <c r="Z22" s="6" t="s">
        <v>368</v>
      </c>
      <c r="AA22" s="6"/>
      <c r="AB22" s="3" t="s">
        <v>50</v>
      </c>
      <c r="AC22" s="3" t="s">
        <v>49</v>
      </c>
      <c r="AD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x14ac:dyDescent="0.25">
      <c r="A23" s="3" t="s">
        <v>352</v>
      </c>
      <c r="B23" s="4" t="s">
        <v>148</v>
      </c>
      <c r="C23" s="4" t="s">
        <v>238</v>
      </c>
      <c r="D23" s="4" t="str">
        <f t="shared" si="0"/>
        <v>Gaming</v>
      </c>
      <c r="E23" s="4"/>
      <c r="F23" s="4" t="s">
        <v>240</v>
      </c>
      <c r="G23" s="4">
        <v>16</v>
      </c>
      <c r="H23" s="4">
        <v>16</v>
      </c>
      <c r="I23" s="4" t="s">
        <v>311</v>
      </c>
      <c r="J23" s="4" t="s">
        <v>242</v>
      </c>
      <c r="K23" s="4" t="s">
        <v>242</v>
      </c>
      <c r="L23" s="4" t="s">
        <v>265</v>
      </c>
      <c r="M23" s="4" t="s">
        <v>265</v>
      </c>
      <c r="N23" s="4">
        <v>144</v>
      </c>
      <c r="O23" s="4" t="s">
        <v>311</v>
      </c>
      <c r="P23" s="4" t="s">
        <v>239</v>
      </c>
      <c r="Q23" s="4" t="s">
        <v>241</v>
      </c>
      <c r="R23" s="4" t="s">
        <v>311</v>
      </c>
      <c r="S23" s="3">
        <v>4.3</v>
      </c>
      <c r="T23" s="3">
        <v>108</v>
      </c>
      <c r="U23" s="3">
        <v>422689.1</v>
      </c>
      <c r="V23" s="3">
        <v>422689.1</v>
      </c>
      <c r="W23" s="5">
        <f t="shared" si="1"/>
        <v>0</v>
      </c>
      <c r="X23" s="5" t="str">
        <f t="shared" si="2"/>
        <v>No</v>
      </c>
      <c r="Y23" s="3">
        <v>22426.23</v>
      </c>
      <c r="Z23" s="6" t="s">
        <v>368</v>
      </c>
      <c r="AA23" s="6"/>
      <c r="AB23" s="3" t="s">
        <v>52</v>
      </c>
      <c r="AC23" s="3" t="s">
        <v>51</v>
      </c>
      <c r="AD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27.6" x14ac:dyDescent="0.25">
      <c r="A24" s="3" t="s">
        <v>433</v>
      </c>
      <c r="B24" s="4" t="s">
        <v>148</v>
      </c>
      <c r="C24" s="4" t="s">
        <v>435</v>
      </c>
      <c r="D24" s="4" t="str">
        <f t="shared" si="0"/>
        <v>Gaming</v>
      </c>
      <c r="E24" s="4"/>
      <c r="F24" s="4" t="s">
        <v>243</v>
      </c>
      <c r="G24" s="4">
        <v>16</v>
      </c>
      <c r="H24" s="4">
        <v>16</v>
      </c>
      <c r="I24" s="4" t="s">
        <v>311</v>
      </c>
      <c r="J24" s="4" t="s">
        <v>203</v>
      </c>
      <c r="K24" s="4" t="s">
        <v>203</v>
      </c>
      <c r="L24" s="4" t="s">
        <v>279</v>
      </c>
      <c r="M24" s="4" t="s">
        <v>290</v>
      </c>
      <c r="N24" s="4">
        <v>165</v>
      </c>
      <c r="O24" s="4" t="s">
        <v>311</v>
      </c>
      <c r="P24" s="4" t="s">
        <v>311</v>
      </c>
      <c r="Q24" s="4" t="s">
        <v>244</v>
      </c>
      <c r="R24" s="4" t="s">
        <v>311</v>
      </c>
      <c r="S24" s="3">
        <v>4.3</v>
      </c>
      <c r="T24" s="3">
        <v>97</v>
      </c>
      <c r="U24" s="3">
        <v>527821.57999999996</v>
      </c>
      <c r="V24" s="3">
        <v>527821.57999999996</v>
      </c>
      <c r="W24" s="5">
        <f t="shared" si="1"/>
        <v>0</v>
      </c>
      <c r="X24" s="5" t="str">
        <f t="shared" si="2"/>
        <v>No</v>
      </c>
      <c r="Y24" s="3">
        <v>21112.42</v>
      </c>
      <c r="Z24" s="6" t="s">
        <v>368</v>
      </c>
      <c r="AA24" s="6"/>
      <c r="AB24" s="3" t="s">
        <v>48</v>
      </c>
      <c r="AC24" s="3" t="s">
        <v>53</v>
      </c>
      <c r="AD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x14ac:dyDescent="0.25">
      <c r="A25" s="3"/>
      <c r="B25" s="4" t="s">
        <v>311</v>
      </c>
      <c r="C25" s="4" t="s">
        <v>311</v>
      </c>
      <c r="D25" s="4" t="str">
        <f t="shared" si="0"/>
        <v>Normal Use</v>
      </c>
      <c r="E25" s="4"/>
      <c r="F25" s="4" t="s">
        <v>311</v>
      </c>
      <c r="G25" s="4"/>
      <c r="H25" s="4"/>
      <c r="I25" s="4" t="s">
        <v>311</v>
      </c>
      <c r="J25" s="4" t="s">
        <v>311</v>
      </c>
      <c r="K25" s="4" t="s">
        <v>311</v>
      </c>
      <c r="L25" s="4" t="s">
        <v>311</v>
      </c>
      <c r="M25" s="4" t="s">
        <v>311</v>
      </c>
      <c r="N25" s="4"/>
      <c r="O25" s="4" t="s">
        <v>311</v>
      </c>
      <c r="P25" s="4" t="s">
        <v>311</v>
      </c>
      <c r="Q25" s="4"/>
      <c r="R25" s="4" t="s">
        <v>311</v>
      </c>
      <c r="S25" s="3">
        <v>4.3</v>
      </c>
      <c r="T25" s="3">
        <v>97</v>
      </c>
      <c r="U25" s="3">
        <v>527821.57999999996</v>
      </c>
      <c r="V25" s="3">
        <v>221737.23</v>
      </c>
      <c r="W25" s="5">
        <f t="shared" si="1"/>
        <v>-138.03922327342141</v>
      </c>
      <c r="X25" s="5" t="str">
        <f t="shared" si="2"/>
        <v>No</v>
      </c>
      <c r="Y25" s="3">
        <v>21112.42</v>
      </c>
      <c r="Z25" s="6" t="s">
        <v>368</v>
      </c>
      <c r="AA25" s="6"/>
      <c r="AB25" s="3"/>
      <c r="AC25" s="3" t="s">
        <v>54</v>
      </c>
      <c r="AD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27.6" x14ac:dyDescent="0.25">
      <c r="A26" s="3" t="s">
        <v>436</v>
      </c>
      <c r="B26" s="4" t="s">
        <v>156</v>
      </c>
      <c r="C26" s="4" t="s">
        <v>182</v>
      </c>
      <c r="D26" s="4" t="str">
        <f t="shared" si="0"/>
        <v>Gaming</v>
      </c>
      <c r="E26" s="4">
        <v>16</v>
      </c>
      <c r="F26" s="4" t="s">
        <v>139</v>
      </c>
      <c r="G26" s="4">
        <v>16</v>
      </c>
      <c r="H26" s="4">
        <v>1000</v>
      </c>
      <c r="I26" s="4" t="s">
        <v>132</v>
      </c>
      <c r="J26" s="4" t="s">
        <v>183</v>
      </c>
      <c r="K26" s="4" t="s">
        <v>266</v>
      </c>
      <c r="L26" s="4" t="s">
        <v>283</v>
      </c>
      <c r="M26" s="4" t="s">
        <v>285</v>
      </c>
      <c r="N26" s="4">
        <v>240</v>
      </c>
      <c r="O26" s="4" t="s">
        <v>311</v>
      </c>
      <c r="P26" s="4" t="s">
        <v>157</v>
      </c>
      <c r="Q26" s="4" t="s">
        <v>319</v>
      </c>
      <c r="R26" s="4" t="s">
        <v>292</v>
      </c>
      <c r="S26" s="3">
        <v>3.9</v>
      </c>
      <c r="T26" s="3">
        <v>39</v>
      </c>
      <c r="U26" s="3">
        <v>442368.53</v>
      </c>
      <c r="V26" s="3">
        <v>442368.53</v>
      </c>
      <c r="W26" s="5">
        <f t="shared" si="1"/>
        <v>0</v>
      </c>
      <c r="X26" s="5" t="str">
        <f t="shared" si="2"/>
        <v>No</v>
      </c>
      <c r="Y26" s="3">
        <v>24859.83</v>
      </c>
      <c r="Z26" s="6">
        <v>46300</v>
      </c>
      <c r="AA26" s="6"/>
      <c r="AB26" s="3" t="s">
        <v>56</v>
      </c>
      <c r="AC26" s="3" t="s">
        <v>55</v>
      </c>
      <c r="AD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27.6" x14ac:dyDescent="0.25">
      <c r="A27" s="3" t="s">
        <v>437</v>
      </c>
      <c r="B27" s="4" t="s">
        <v>128</v>
      </c>
      <c r="C27" s="4" t="s">
        <v>184</v>
      </c>
      <c r="D27" s="4" t="str">
        <f t="shared" si="0"/>
        <v>Gaming</v>
      </c>
      <c r="E27" s="4">
        <v>18</v>
      </c>
      <c r="F27" s="4" t="s">
        <v>158</v>
      </c>
      <c r="G27" s="4">
        <v>32</v>
      </c>
      <c r="H27" s="4">
        <v>2000</v>
      </c>
      <c r="I27" s="4" t="s">
        <v>140</v>
      </c>
      <c r="J27" s="4" t="s">
        <v>133</v>
      </c>
      <c r="K27" s="4" t="s">
        <v>293</v>
      </c>
      <c r="L27" s="4" t="s">
        <v>279</v>
      </c>
      <c r="M27" s="4" t="s">
        <v>311</v>
      </c>
      <c r="N27" s="4">
        <v>240</v>
      </c>
      <c r="O27" s="4" t="s">
        <v>311</v>
      </c>
      <c r="P27" s="4" t="s">
        <v>136</v>
      </c>
      <c r="Q27" s="4" t="s">
        <v>324</v>
      </c>
      <c r="R27" s="4" t="s">
        <v>267</v>
      </c>
      <c r="S27" s="3">
        <v>3.8</v>
      </c>
      <c r="T27" s="3">
        <v>43</v>
      </c>
      <c r="U27" s="3">
        <v>1247284.73</v>
      </c>
      <c r="V27" s="3">
        <v>1247284.73</v>
      </c>
      <c r="W27" s="5">
        <f t="shared" si="1"/>
        <v>0</v>
      </c>
      <c r="X27" s="5" t="str">
        <f t="shared" si="2"/>
        <v>No</v>
      </c>
      <c r="Y27" s="3">
        <v>31165.56</v>
      </c>
      <c r="Z27" s="6" t="s">
        <v>368</v>
      </c>
      <c r="AA27" s="6"/>
      <c r="AB27" s="3" t="s">
        <v>58</v>
      </c>
      <c r="AC27" s="3" t="s">
        <v>57</v>
      </c>
      <c r="AD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27.6" x14ac:dyDescent="0.25">
      <c r="A28" s="3" t="s">
        <v>438</v>
      </c>
      <c r="B28" s="4" t="s">
        <v>128</v>
      </c>
      <c r="C28" s="4" t="s">
        <v>185</v>
      </c>
      <c r="D28" s="4" t="str">
        <f t="shared" si="0"/>
        <v>Gaming</v>
      </c>
      <c r="E28" s="4">
        <v>16</v>
      </c>
      <c r="F28" s="4" t="s">
        <v>164</v>
      </c>
      <c r="G28" s="4">
        <v>16</v>
      </c>
      <c r="H28" s="4">
        <v>1000</v>
      </c>
      <c r="I28" s="4" t="s">
        <v>132</v>
      </c>
      <c r="J28" s="4" t="s">
        <v>186</v>
      </c>
      <c r="K28" s="4" t="s">
        <v>230</v>
      </c>
      <c r="L28" s="4" t="s">
        <v>265</v>
      </c>
      <c r="M28" s="4" t="s">
        <v>268</v>
      </c>
      <c r="N28" s="4">
        <v>165</v>
      </c>
      <c r="O28" s="4" t="s">
        <v>311</v>
      </c>
      <c r="P28" s="4" t="s">
        <v>130</v>
      </c>
      <c r="Q28" s="4" t="s">
        <v>133</v>
      </c>
      <c r="R28" s="4" t="s">
        <v>267</v>
      </c>
      <c r="S28" s="3">
        <v>4.5999999999999996</v>
      </c>
      <c r="T28" s="3">
        <v>58</v>
      </c>
      <c r="U28" s="3">
        <v>374183.48</v>
      </c>
      <c r="V28" s="3">
        <v>374183.48</v>
      </c>
      <c r="W28" s="5">
        <f t="shared" si="1"/>
        <v>0</v>
      </c>
      <c r="X28" s="5" t="str">
        <f t="shared" si="2"/>
        <v>No</v>
      </c>
      <c r="Y28" s="3">
        <v>26021.19</v>
      </c>
      <c r="Z28" s="6" t="s">
        <v>371</v>
      </c>
      <c r="AA28" s="6"/>
      <c r="AB28" s="3" t="s">
        <v>60</v>
      </c>
      <c r="AC28" s="3" t="s">
        <v>59</v>
      </c>
      <c r="AD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x14ac:dyDescent="0.25">
      <c r="A29" s="3" t="s">
        <v>439</v>
      </c>
      <c r="B29" s="4" t="s">
        <v>187</v>
      </c>
      <c r="C29" s="4" t="s">
        <v>188</v>
      </c>
      <c r="D29" s="4" t="str">
        <f t="shared" si="0"/>
        <v>Normal Use</v>
      </c>
      <c r="E29" s="4">
        <v>15.6</v>
      </c>
      <c r="F29" s="4" t="s">
        <v>189</v>
      </c>
      <c r="G29" s="4">
        <v>8</v>
      </c>
      <c r="H29" s="4">
        <v>256</v>
      </c>
      <c r="I29" s="4" t="s">
        <v>311</v>
      </c>
      <c r="J29" s="4" t="s">
        <v>142</v>
      </c>
      <c r="K29" s="4" t="s">
        <v>311</v>
      </c>
      <c r="L29" s="4" t="s">
        <v>265</v>
      </c>
      <c r="M29" s="4" t="s">
        <v>245</v>
      </c>
      <c r="N29" s="4"/>
      <c r="O29" s="4" t="s">
        <v>311</v>
      </c>
      <c r="P29" s="4" t="s">
        <v>136</v>
      </c>
      <c r="Q29" s="4"/>
      <c r="R29" s="4" t="s">
        <v>294</v>
      </c>
      <c r="S29" s="3">
        <v>3.9</v>
      </c>
      <c r="T29" s="3">
        <v>61</v>
      </c>
      <c r="U29" s="3">
        <v>66519.23</v>
      </c>
      <c r="V29" s="3">
        <v>66519.23</v>
      </c>
      <c r="W29" s="5">
        <f t="shared" si="1"/>
        <v>0</v>
      </c>
      <c r="X29" s="5" t="str">
        <f t="shared" si="2"/>
        <v>No</v>
      </c>
      <c r="Y29" s="3">
        <v>17916.59</v>
      </c>
      <c r="Z29" s="6" t="s">
        <v>368</v>
      </c>
      <c r="AA29" s="6"/>
      <c r="AB29" s="3" t="s">
        <v>62</v>
      </c>
      <c r="AC29" s="3" t="s">
        <v>61</v>
      </c>
      <c r="AD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27.6" x14ac:dyDescent="0.25">
      <c r="A30" s="3" t="s">
        <v>339</v>
      </c>
      <c r="B30" s="4" t="s">
        <v>190</v>
      </c>
      <c r="C30" s="4" t="s">
        <v>191</v>
      </c>
      <c r="D30" s="4" t="str">
        <f t="shared" si="0"/>
        <v>Office / Business</v>
      </c>
      <c r="E30" s="4">
        <v>15.6</v>
      </c>
      <c r="F30" s="4" t="s">
        <v>193</v>
      </c>
      <c r="G30" s="4">
        <v>16</v>
      </c>
      <c r="H30" s="4">
        <v>512</v>
      </c>
      <c r="I30" s="4" t="s">
        <v>140</v>
      </c>
      <c r="J30" s="4" t="s">
        <v>142</v>
      </c>
      <c r="K30" s="4" t="s">
        <v>311</v>
      </c>
      <c r="L30" s="4" t="s">
        <v>265</v>
      </c>
      <c r="M30" s="4" t="s">
        <v>265</v>
      </c>
      <c r="N30" s="4"/>
      <c r="O30" s="4" t="s">
        <v>295</v>
      </c>
      <c r="P30" s="4" t="s">
        <v>192</v>
      </c>
      <c r="Q30" s="4" t="s">
        <v>353</v>
      </c>
      <c r="R30" s="4" t="s">
        <v>311</v>
      </c>
      <c r="S30" s="3">
        <v>3.8</v>
      </c>
      <c r="T30" s="3">
        <v>23</v>
      </c>
      <c r="U30" s="3">
        <v>85921.48</v>
      </c>
      <c r="V30" s="3">
        <v>85921.48</v>
      </c>
      <c r="W30" s="5">
        <f t="shared" si="1"/>
        <v>0</v>
      </c>
      <c r="X30" s="5" t="str">
        <f t="shared" si="2"/>
        <v>No</v>
      </c>
      <c r="Y30" s="3">
        <v>17916.59</v>
      </c>
      <c r="Z30" s="6" t="s">
        <v>368</v>
      </c>
      <c r="AA30" s="6"/>
      <c r="AB30" s="3" t="s">
        <v>64</v>
      </c>
      <c r="AC30" s="3" t="s">
        <v>63</v>
      </c>
      <c r="AD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x14ac:dyDescent="0.25">
      <c r="A31" s="3" t="s">
        <v>440</v>
      </c>
      <c r="B31" s="4" t="s">
        <v>128</v>
      </c>
      <c r="C31" s="4" t="s">
        <v>194</v>
      </c>
      <c r="D31" s="4" t="str">
        <f t="shared" si="0"/>
        <v>Gaming</v>
      </c>
      <c r="E31" s="4">
        <v>14</v>
      </c>
      <c r="F31" s="4" t="s">
        <v>195</v>
      </c>
      <c r="G31" s="4">
        <v>32</v>
      </c>
      <c r="H31" s="4">
        <v>1000</v>
      </c>
      <c r="I31" s="4" t="s">
        <v>132</v>
      </c>
      <c r="J31" s="4" t="s">
        <v>142</v>
      </c>
      <c r="K31" s="4" t="s">
        <v>311</v>
      </c>
      <c r="L31" s="4" t="s">
        <v>290</v>
      </c>
      <c r="M31" s="4" t="s">
        <v>290</v>
      </c>
      <c r="N31" s="4">
        <v>165</v>
      </c>
      <c r="O31" s="4" t="s">
        <v>311</v>
      </c>
      <c r="P31" s="4" t="s">
        <v>138</v>
      </c>
      <c r="Q31" s="4" t="s">
        <v>354</v>
      </c>
      <c r="R31" s="4" t="s">
        <v>296</v>
      </c>
      <c r="S31" s="3">
        <v>4.2</v>
      </c>
      <c r="T31" s="3">
        <v>7</v>
      </c>
      <c r="U31" s="3">
        <v>516097.08</v>
      </c>
      <c r="V31" s="3">
        <v>609782.23</v>
      </c>
      <c r="W31" s="5">
        <f t="shared" si="1"/>
        <v>15.363706154572586</v>
      </c>
      <c r="X31" s="5" t="str">
        <f t="shared" si="2"/>
        <v>Yes</v>
      </c>
      <c r="Y31" s="3">
        <v>19563.009999999998</v>
      </c>
      <c r="Z31" s="6" t="s">
        <v>368</v>
      </c>
      <c r="AA31" s="6"/>
      <c r="AB31" s="3" t="s">
        <v>66</v>
      </c>
      <c r="AC31" s="3" t="s">
        <v>65</v>
      </c>
      <c r="AD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x14ac:dyDescent="0.25">
      <c r="A32" s="3" t="s">
        <v>441</v>
      </c>
      <c r="B32" s="4" t="s">
        <v>148</v>
      </c>
      <c r="C32" s="4" t="s">
        <v>148</v>
      </c>
      <c r="D32" s="4" t="str">
        <f t="shared" si="0"/>
        <v>Gaming</v>
      </c>
      <c r="E32" s="4">
        <v>16</v>
      </c>
      <c r="F32" s="4" t="s">
        <v>158</v>
      </c>
      <c r="G32" s="4">
        <v>64</v>
      </c>
      <c r="H32" s="4">
        <v>2000</v>
      </c>
      <c r="I32" s="4" t="s">
        <v>132</v>
      </c>
      <c r="J32" s="4" t="s">
        <v>133</v>
      </c>
      <c r="K32" s="4" t="s">
        <v>297</v>
      </c>
      <c r="L32" s="4" t="s">
        <v>311</v>
      </c>
      <c r="M32" s="4" t="s">
        <v>244</v>
      </c>
      <c r="N32" s="4"/>
      <c r="O32" s="4" t="s">
        <v>311</v>
      </c>
      <c r="P32" s="4" t="s">
        <v>136</v>
      </c>
      <c r="Q32" s="4" t="s">
        <v>141</v>
      </c>
      <c r="R32" s="4" t="s">
        <v>311</v>
      </c>
      <c r="S32" s="3">
        <v>4.5999999999999996</v>
      </c>
      <c r="T32" s="3">
        <v>37</v>
      </c>
      <c r="U32" s="3">
        <v>1662772.82</v>
      </c>
      <c r="V32" s="3">
        <v>1662772.82</v>
      </c>
      <c r="W32" s="5">
        <f t="shared" si="1"/>
        <v>0</v>
      </c>
      <c r="X32" s="5" t="str">
        <f t="shared" si="2"/>
        <v>No</v>
      </c>
      <c r="Y32" s="3">
        <v>36390.31</v>
      </c>
      <c r="Z32" s="6">
        <v>46304</v>
      </c>
      <c r="AA32" s="6"/>
      <c r="AB32" s="3" t="s">
        <v>68</v>
      </c>
      <c r="AC32" s="3" t="s">
        <v>67</v>
      </c>
      <c r="AD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x14ac:dyDescent="0.25">
      <c r="A33" s="3" t="s">
        <v>442</v>
      </c>
      <c r="B33" s="4" t="s">
        <v>128</v>
      </c>
      <c r="C33" s="4" t="s">
        <v>196</v>
      </c>
      <c r="D33" s="4" t="str">
        <f t="shared" si="0"/>
        <v>Gaming</v>
      </c>
      <c r="E33" s="4">
        <v>13.4</v>
      </c>
      <c r="F33" s="4" t="s">
        <v>195</v>
      </c>
      <c r="G33" s="4">
        <v>32</v>
      </c>
      <c r="H33" s="4">
        <v>1000</v>
      </c>
      <c r="I33" s="4" t="s">
        <v>132</v>
      </c>
      <c r="J33" s="4" t="s">
        <v>133</v>
      </c>
      <c r="K33" s="4" t="s">
        <v>311</v>
      </c>
      <c r="L33" s="4" t="s">
        <v>279</v>
      </c>
      <c r="M33" s="4" t="s">
        <v>311</v>
      </c>
      <c r="N33" s="4">
        <v>180</v>
      </c>
      <c r="O33" s="4" t="s">
        <v>311</v>
      </c>
      <c r="P33" s="4" t="s">
        <v>197</v>
      </c>
      <c r="Q33" s="4" t="s">
        <v>198</v>
      </c>
      <c r="R33" s="4" t="s">
        <v>267</v>
      </c>
      <c r="S33" s="3">
        <v>4</v>
      </c>
      <c r="T33" s="3">
        <v>18</v>
      </c>
      <c r="U33" s="3">
        <v>552964.12</v>
      </c>
      <c r="V33" s="3">
        <v>582064.73</v>
      </c>
      <c r="W33" s="5">
        <f t="shared" si="1"/>
        <v>4.9995487615269161</v>
      </c>
      <c r="X33" s="5" t="str">
        <f t="shared" si="2"/>
        <v>Yes</v>
      </c>
      <c r="Y33" s="3">
        <v>21871.88</v>
      </c>
      <c r="Z33" s="6" t="s">
        <v>371</v>
      </c>
      <c r="AA33" s="6"/>
      <c r="AB33" s="3" t="s">
        <v>70</v>
      </c>
      <c r="AC33" s="3" t="s">
        <v>69</v>
      </c>
      <c r="AD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x14ac:dyDescent="0.25">
      <c r="A34" s="3" t="s">
        <v>71</v>
      </c>
      <c r="B34" s="4" t="s">
        <v>156</v>
      </c>
      <c r="C34" s="4" t="s">
        <v>199</v>
      </c>
      <c r="D34" s="4" t="str">
        <f t="shared" ref="D34:D58" si="3">IF(OR(ISNUMBER(SEARCH("charger",A34)),ISNUMBER(SEARCH("cable",A34)),ISNUMBER(SEARCH("adapter",A34)),ISNUMBER(SEARCH("dock",A34)),ISNUMBER(SEARCH("replacement",A34))),"Accessory / Other",IF(OR(J34="Dedicated",ISNUMBER(SEARCH("rtx",J34&amp;" "&amp;K34)),ISNUMBER(SEARCH("gtx",J34&amp;" "&amp;K34)),ISNUMBER(SEARCH("rx 5",J34&amp;" "&amp;K34)),ISNUMBER(SEARCH("rx 6",J34&amp;" "&amp;K34)),ISNUMBER(SEARCH("rx 7",J34&amp;" "&amp;K34)),ISNUMBER(SEARCH("rx 8",J34&amp;" "&amp;K34)),ISNUMBER(SEARCH("rx 9",J34&amp;" "&amp;K34)),AND(IFERROR(N34&gt;=120,FALSE),ISNUMBER(SEARCH("gaming",A34&amp;" "&amp;C34)))),"Gaming",IF(OR(ISNUMBER(SEARCH("thinkpad",C34)),ISNUMBER(SEARCH("latitude",C34)),ISNUMBER(SEARCH("probook",C34)),ISNUMBER(SEARCH("elitebook",C34)),ISNUMBER(SEARCH("office",A34&amp;" "&amp;Q34)),ISNUMBER(SEARCH("business",A34&amp;" "&amp;Q34)),AND(ISNUMBER(SEARCH("windows 11 pro",I34)),J34="Integrated")),"Office / Business",IF(OR(ISNUMBER(SEARCH("creator",A34&amp;" "&amp;Q34)),ISNUMBER(SEARCH("studio",A34&amp;" "&amp;C34)),ISNUMBER(SEARCH("workstation",A34&amp;" "&amp;C34)),ISNUMBER(SEARCH("precision",A34&amp;" "&amp;C34)),ISNUMBER(SEARCH("zbook",A34&amp;" "&amp;C34))),"Creator / Professional","Normal Use"))))</f>
        <v>Gaming</v>
      </c>
      <c r="E34" s="4">
        <v>16</v>
      </c>
      <c r="F34" s="4" t="s">
        <v>201</v>
      </c>
      <c r="G34" s="4">
        <v>16</v>
      </c>
      <c r="H34" s="4">
        <v>1000</v>
      </c>
      <c r="I34" s="4" t="s">
        <v>132</v>
      </c>
      <c r="J34" s="4" t="s">
        <v>133</v>
      </c>
      <c r="K34" s="4" t="s">
        <v>298</v>
      </c>
      <c r="L34" s="4" t="s">
        <v>311</v>
      </c>
      <c r="M34" s="4" t="s">
        <v>311</v>
      </c>
      <c r="N34" s="4"/>
      <c r="O34" s="4" t="s">
        <v>311</v>
      </c>
      <c r="P34" s="4" t="s">
        <v>200</v>
      </c>
      <c r="Q34" s="4" t="s">
        <v>325</v>
      </c>
      <c r="R34" s="4" t="s">
        <v>311</v>
      </c>
      <c r="S34" s="3">
        <v>5</v>
      </c>
      <c r="T34" s="3">
        <v>2</v>
      </c>
      <c r="U34" s="3">
        <v>498773.64</v>
      </c>
      <c r="V34" s="3">
        <v>498773.64</v>
      </c>
      <c r="W34" s="5">
        <f t="shared" ref="W34:W59" si="4">((V34-U34)/V34)*100</f>
        <v>0</v>
      </c>
      <c r="X34" s="5" t="str">
        <f t="shared" ref="X34:X60" si="5">IF(W34&gt;0,"Yes","No")</f>
        <v>No</v>
      </c>
      <c r="Y34" s="3">
        <v>45456.7</v>
      </c>
      <c r="Z34" s="6" t="s">
        <v>371</v>
      </c>
      <c r="AA34" s="6"/>
      <c r="AB34" s="3" t="s">
        <v>73</v>
      </c>
      <c r="AC34" s="3" t="s">
        <v>72</v>
      </c>
      <c r="AD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27.6" x14ac:dyDescent="0.25">
      <c r="A35" s="3" t="s">
        <v>355</v>
      </c>
      <c r="B35" s="4" t="s">
        <v>148</v>
      </c>
      <c r="C35" s="4" t="s">
        <v>202</v>
      </c>
      <c r="D35" s="4" t="str">
        <f t="shared" si="3"/>
        <v>Gaming</v>
      </c>
      <c r="E35" s="4">
        <v>15.3</v>
      </c>
      <c r="F35" s="4" t="s">
        <v>137</v>
      </c>
      <c r="G35" s="4">
        <v>32</v>
      </c>
      <c r="H35" s="4">
        <v>1000</v>
      </c>
      <c r="I35" s="4" t="s">
        <v>132</v>
      </c>
      <c r="J35" s="4" t="s">
        <v>133</v>
      </c>
      <c r="K35" s="4" t="s">
        <v>266</v>
      </c>
      <c r="L35" s="4" t="s">
        <v>290</v>
      </c>
      <c r="M35" s="4" t="s">
        <v>244</v>
      </c>
      <c r="N35" s="4">
        <v>165</v>
      </c>
      <c r="O35" s="4" t="s">
        <v>311</v>
      </c>
      <c r="P35" s="4" t="s">
        <v>136</v>
      </c>
      <c r="Q35" s="4" t="s">
        <v>326</v>
      </c>
      <c r="R35" s="4" t="s">
        <v>311</v>
      </c>
      <c r="S35" s="3">
        <v>5</v>
      </c>
      <c r="T35" s="3">
        <v>4</v>
      </c>
      <c r="U35" s="3">
        <v>613088.93000000005</v>
      </c>
      <c r="V35" s="3">
        <v>613088.93000000005</v>
      </c>
      <c r="W35" s="5">
        <f t="shared" si="4"/>
        <v>0</v>
      </c>
      <c r="X35" s="5" t="str">
        <f t="shared" si="5"/>
        <v>No</v>
      </c>
      <c r="Y35" s="3">
        <v>21320.3</v>
      </c>
      <c r="Z35" s="6" t="s">
        <v>368</v>
      </c>
      <c r="AA35" s="6"/>
      <c r="AB35" s="3" t="s">
        <v>75</v>
      </c>
      <c r="AC35" s="3" t="s">
        <v>74</v>
      </c>
      <c r="AD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27.6" x14ac:dyDescent="0.25">
      <c r="A36" s="3" t="s">
        <v>443</v>
      </c>
      <c r="B36" s="4" t="s">
        <v>149</v>
      </c>
      <c r="C36" s="4" t="s">
        <v>165</v>
      </c>
      <c r="D36" s="4" t="str">
        <f t="shared" si="3"/>
        <v>Normal Use</v>
      </c>
      <c r="E36" s="4">
        <v>15.6</v>
      </c>
      <c r="F36" s="4" t="s">
        <v>152</v>
      </c>
      <c r="G36" s="4">
        <v>16</v>
      </c>
      <c r="H36" s="4">
        <v>512</v>
      </c>
      <c r="I36" s="4" t="s">
        <v>140</v>
      </c>
      <c r="J36" s="4" t="s">
        <v>205</v>
      </c>
      <c r="K36" s="4" t="s">
        <v>299</v>
      </c>
      <c r="L36" s="4" t="s">
        <v>311</v>
      </c>
      <c r="M36" s="4" t="s">
        <v>311</v>
      </c>
      <c r="N36" s="4"/>
      <c r="O36" s="4" t="s">
        <v>272</v>
      </c>
      <c r="P36" s="4" t="s">
        <v>204</v>
      </c>
      <c r="Q36" s="4" t="s">
        <v>327</v>
      </c>
      <c r="R36" s="4" t="s">
        <v>300</v>
      </c>
      <c r="S36" s="3">
        <v>4.3</v>
      </c>
      <c r="T36" s="3">
        <v>85</v>
      </c>
      <c r="U36" s="3">
        <v>243911.23</v>
      </c>
      <c r="V36" s="3">
        <v>243911.23</v>
      </c>
      <c r="W36" s="5">
        <f t="shared" si="4"/>
        <v>0</v>
      </c>
      <c r="X36" s="5" t="str">
        <f t="shared" si="5"/>
        <v>No</v>
      </c>
      <c r="Y36" s="3">
        <v>18897.79</v>
      </c>
      <c r="Z36" s="6" t="s">
        <v>368</v>
      </c>
      <c r="AA36" s="6"/>
      <c r="AB36" s="3" t="s">
        <v>77</v>
      </c>
      <c r="AC36" s="3" t="s">
        <v>76</v>
      </c>
      <c r="AD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27.6" x14ac:dyDescent="0.25">
      <c r="A37" s="3" t="s">
        <v>444</v>
      </c>
      <c r="B37" s="4" t="s">
        <v>128</v>
      </c>
      <c r="C37" s="4" t="s">
        <v>206</v>
      </c>
      <c r="D37" s="4" t="str">
        <f t="shared" si="3"/>
        <v>Gaming</v>
      </c>
      <c r="E37" s="4">
        <v>16</v>
      </c>
      <c r="F37" s="4" t="s">
        <v>158</v>
      </c>
      <c r="G37" s="4">
        <v>32</v>
      </c>
      <c r="H37" s="4">
        <v>1000</v>
      </c>
      <c r="I37" s="4" t="s">
        <v>132</v>
      </c>
      <c r="J37" s="4" t="s">
        <v>133</v>
      </c>
      <c r="K37" s="4" t="s">
        <v>301</v>
      </c>
      <c r="L37" s="4" t="s">
        <v>279</v>
      </c>
      <c r="M37" s="4" t="s">
        <v>311</v>
      </c>
      <c r="N37" s="4">
        <v>240</v>
      </c>
      <c r="O37" s="4" t="s">
        <v>311</v>
      </c>
      <c r="P37" s="4" t="s">
        <v>130</v>
      </c>
      <c r="Q37" s="4" t="s">
        <v>328</v>
      </c>
      <c r="R37" s="4" t="s">
        <v>267</v>
      </c>
      <c r="S37" s="3">
        <v>5</v>
      </c>
      <c r="T37" s="3">
        <v>7</v>
      </c>
      <c r="U37" s="3">
        <v>1080979.73</v>
      </c>
      <c r="V37" s="3">
        <v>1080979.73</v>
      </c>
      <c r="W37" s="5">
        <f t="shared" si="4"/>
        <v>0</v>
      </c>
      <c r="X37" s="5" t="str">
        <f t="shared" si="5"/>
        <v>No</v>
      </c>
      <c r="Y37" s="3">
        <v>26409.23</v>
      </c>
      <c r="Z37" s="6" t="s">
        <v>368</v>
      </c>
      <c r="AA37" s="6"/>
      <c r="AB37" s="3" t="s">
        <v>79</v>
      </c>
      <c r="AC37" s="3" t="s">
        <v>78</v>
      </c>
      <c r="AD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x14ac:dyDescent="0.25">
      <c r="A38" s="3" t="s">
        <v>340</v>
      </c>
      <c r="B38" s="4" t="s">
        <v>207</v>
      </c>
      <c r="C38" s="4" t="s">
        <v>207</v>
      </c>
      <c r="D38" s="4" t="str">
        <f t="shared" si="3"/>
        <v>Normal Use</v>
      </c>
      <c r="E38" s="4">
        <v>17.3</v>
      </c>
      <c r="F38" s="4" t="s">
        <v>164</v>
      </c>
      <c r="G38" s="4">
        <v>16</v>
      </c>
      <c r="H38" s="4">
        <v>512</v>
      </c>
      <c r="I38" s="4" t="s">
        <v>311</v>
      </c>
      <c r="J38" s="4" t="s">
        <v>209</v>
      </c>
      <c r="K38" s="4" t="s">
        <v>311</v>
      </c>
      <c r="L38" s="4" t="s">
        <v>311</v>
      </c>
      <c r="M38" s="4" t="s">
        <v>311</v>
      </c>
      <c r="N38" s="4"/>
      <c r="O38" s="4" t="s">
        <v>311</v>
      </c>
      <c r="P38" s="4" t="s">
        <v>208</v>
      </c>
      <c r="Q38" s="4"/>
      <c r="R38" s="4" t="s">
        <v>311</v>
      </c>
      <c r="S38" s="3">
        <v>3.8</v>
      </c>
      <c r="T38" s="3">
        <v>108</v>
      </c>
      <c r="U38" s="3">
        <v>138584.73000000001</v>
      </c>
      <c r="V38" s="3">
        <v>138584.73000000001</v>
      </c>
      <c r="W38" s="5">
        <f t="shared" si="4"/>
        <v>0</v>
      </c>
      <c r="X38" s="5" t="str">
        <f t="shared" si="5"/>
        <v>No</v>
      </c>
      <c r="Y38" s="3">
        <v>18759.2</v>
      </c>
      <c r="Z38" s="6" t="s">
        <v>368</v>
      </c>
      <c r="AA38" s="6"/>
      <c r="AB38" s="3" t="s">
        <v>81</v>
      </c>
      <c r="AC38" s="3" t="s">
        <v>80</v>
      </c>
      <c r="AD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27.6" x14ac:dyDescent="0.25">
      <c r="A39" s="3" t="s">
        <v>445</v>
      </c>
      <c r="B39" s="4" t="s">
        <v>246</v>
      </c>
      <c r="C39" s="4" t="s">
        <v>247</v>
      </c>
      <c r="D39" s="4" t="str">
        <f t="shared" si="3"/>
        <v>Normal Use</v>
      </c>
      <c r="E39" s="4"/>
      <c r="F39" s="4" t="s">
        <v>248</v>
      </c>
      <c r="G39" s="4"/>
      <c r="H39" s="4"/>
      <c r="I39" s="4" t="s">
        <v>311</v>
      </c>
      <c r="J39" s="4" t="s">
        <v>311</v>
      </c>
      <c r="K39" s="4" t="s">
        <v>311</v>
      </c>
      <c r="L39" s="4" t="s">
        <v>311</v>
      </c>
      <c r="M39" s="4" t="s">
        <v>311</v>
      </c>
      <c r="N39" s="4"/>
      <c r="O39" s="4" t="s">
        <v>311</v>
      </c>
      <c r="P39" s="4" t="s">
        <v>311</v>
      </c>
      <c r="Q39" s="4"/>
      <c r="R39" s="4" t="s">
        <v>311</v>
      </c>
      <c r="S39" s="3">
        <v>4</v>
      </c>
      <c r="T39" s="3">
        <v>1</v>
      </c>
      <c r="U39" s="3">
        <v>410219</v>
      </c>
      <c r="V39" s="3">
        <v>410219</v>
      </c>
      <c r="W39" s="5">
        <f t="shared" si="4"/>
        <v>0</v>
      </c>
      <c r="X39" s="5" t="str">
        <f t="shared" si="5"/>
        <v>No</v>
      </c>
      <c r="Y39" s="3">
        <v>17819.580000000002</v>
      </c>
      <c r="Z39" s="6" t="s">
        <v>368</v>
      </c>
      <c r="AA39" s="6"/>
      <c r="AB39" s="3" t="s">
        <v>31</v>
      </c>
      <c r="AC39" s="3" t="s">
        <v>82</v>
      </c>
      <c r="AD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27.6" x14ac:dyDescent="0.25">
      <c r="A40" s="3" t="s">
        <v>446</v>
      </c>
      <c r="B40" s="4" t="s">
        <v>235</v>
      </c>
      <c r="C40" s="4" t="s">
        <v>447</v>
      </c>
      <c r="D40" s="4" t="str">
        <f t="shared" si="3"/>
        <v>Office / Business</v>
      </c>
      <c r="E40" s="4"/>
      <c r="F40" s="4" t="s">
        <v>249</v>
      </c>
      <c r="G40" s="4">
        <v>16</v>
      </c>
      <c r="H40" s="4">
        <v>16</v>
      </c>
      <c r="I40" s="4" t="s">
        <v>140</v>
      </c>
      <c r="J40" s="4" t="s">
        <v>311</v>
      </c>
      <c r="K40" s="4" t="s">
        <v>311</v>
      </c>
      <c r="L40" s="4" t="s">
        <v>269</v>
      </c>
      <c r="M40" s="4" t="s">
        <v>269</v>
      </c>
      <c r="N40" s="4"/>
      <c r="O40" s="4" t="s">
        <v>276</v>
      </c>
      <c r="P40" s="4" t="s">
        <v>311</v>
      </c>
      <c r="Q40" s="4" t="s">
        <v>360</v>
      </c>
      <c r="R40" s="4" t="s">
        <v>251</v>
      </c>
      <c r="S40" s="3">
        <v>0</v>
      </c>
      <c r="T40" s="3">
        <v>0</v>
      </c>
      <c r="U40" s="3">
        <v>335104.58</v>
      </c>
      <c r="V40" s="3">
        <v>335104.58</v>
      </c>
      <c r="W40" s="5">
        <f t="shared" si="4"/>
        <v>0</v>
      </c>
      <c r="X40" s="5" t="str">
        <f t="shared" si="5"/>
        <v>No</v>
      </c>
      <c r="Y40" s="3">
        <v>21115.19</v>
      </c>
      <c r="Z40" s="6" t="s">
        <v>368</v>
      </c>
      <c r="AA40" s="6"/>
      <c r="AB40" s="3" t="s">
        <v>84</v>
      </c>
      <c r="AC40" s="3" t="s">
        <v>83</v>
      </c>
      <c r="AD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27.6" x14ac:dyDescent="0.25">
      <c r="A41" s="3" t="s">
        <v>341</v>
      </c>
      <c r="B41" s="4" t="s">
        <v>143</v>
      </c>
      <c r="C41" s="4" t="s">
        <v>165</v>
      </c>
      <c r="D41" s="4" t="str">
        <f t="shared" si="3"/>
        <v>Office / Business</v>
      </c>
      <c r="E41" s="4">
        <v>15.6</v>
      </c>
      <c r="F41" s="4" t="s">
        <v>155</v>
      </c>
      <c r="G41" s="4">
        <v>16</v>
      </c>
      <c r="H41" s="4">
        <v>1000</v>
      </c>
      <c r="I41" s="4" t="s">
        <v>147</v>
      </c>
      <c r="J41" s="4" t="s">
        <v>142</v>
      </c>
      <c r="K41" s="4" t="s">
        <v>277</v>
      </c>
      <c r="L41" s="4" t="s">
        <v>311</v>
      </c>
      <c r="M41" s="4" t="s">
        <v>311</v>
      </c>
      <c r="N41" s="4"/>
      <c r="O41" s="4" t="s">
        <v>302</v>
      </c>
      <c r="P41" s="4" t="s">
        <v>210</v>
      </c>
      <c r="Q41" s="4" t="s">
        <v>329</v>
      </c>
      <c r="R41" s="4" t="s">
        <v>278</v>
      </c>
      <c r="S41" s="3">
        <v>4.2</v>
      </c>
      <c r="T41" s="3">
        <v>27</v>
      </c>
      <c r="U41" s="3">
        <v>277172.23</v>
      </c>
      <c r="V41" s="3">
        <v>277172.23</v>
      </c>
      <c r="W41" s="5">
        <f t="shared" si="4"/>
        <v>0</v>
      </c>
      <c r="X41" s="5" t="str">
        <f t="shared" si="5"/>
        <v>No</v>
      </c>
      <c r="Y41" s="3">
        <v>18692.68</v>
      </c>
      <c r="Z41" s="6" t="s">
        <v>368</v>
      </c>
      <c r="AA41" s="6"/>
      <c r="AB41" s="3" t="s">
        <v>86</v>
      </c>
      <c r="AC41" s="3" t="s">
        <v>85</v>
      </c>
      <c r="AD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7.6" x14ac:dyDescent="0.25">
      <c r="A42" s="3" t="s">
        <v>28</v>
      </c>
      <c r="B42" s="4" t="s">
        <v>134</v>
      </c>
      <c r="C42" s="4" t="s">
        <v>224</v>
      </c>
      <c r="D42" s="4" t="str">
        <f t="shared" si="3"/>
        <v>Gaming</v>
      </c>
      <c r="E42" s="4"/>
      <c r="F42" s="4" t="s">
        <v>233</v>
      </c>
      <c r="G42" s="4">
        <v>8</v>
      </c>
      <c r="H42" s="4">
        <v>8</v>
      </c>
      <c r="I42" s="4" t="s">
        <v>311</v>
      </c>
      <c r="J42" s="4" t="s">
        <v>230</v>
      </c>
      <c r="K42" s="4" t="s">
        <v>230</v>
      </c>
      <c r="L42" s="4" t="s">
        <v>269</v>
      </c>
      <c r="M42" s="4" t="s">
        <v>269</v>
      </c>
      <c r="N42" s="4">
        <v>165</v>
      </c>
      <c r="O42" s="4" t="s">
        <v>311</v>
      </c>
      <c r="P42" s="4" t="s">
        <v>311</v>
      </c>
      <c r="Q42" s="4" t="s">
        <v>358</v>
      </c>
      <c r="R42" s="4" t="s">
        <v>270</v>
      </c>
      <c r="S42" s="3">
        <v>3.7</v>
      </c>
      <c r="T42" s="3">
        <v>4</v>
      </c>
      <c r="U42" s="3">
        <v>374183.48</v>
      </c>
      <c r="V42" s="3">
        <v>374183.48</v>
      </c>
      <c r="W42" s="5">
        <f t="shared" si="4"/>
        <v>0</v>
      </c>
      <c r="X42" s="5" t="str">
        <f t="shared" si="5"/>
        <v>No</v>
      </c>
      <c r="Y42" s="3">
        <v>20488.78</v>
      </c>
      <c r="Z42" s="6" t="s">
        <v>368</v>
      </c>
      <c r="AA42" s="6"/>
      <c r="AB42" s="3" t="s">
        <v>30</v>
      </c>
      <c r="AC42" s="3" t="s">
        <v>87</v>
      </c>
      <c r="AD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7.6" x14ac:dyDescent="0.25">
      <c r="A43" s="3" t="s">
        <v>342</v>
      </c>
      <c r="B43" s="4" t="s">
        <v>311</v>
      </c>
      <c r="C43" s="4" t="s">
        <v>311</v>
      </c>
      <c r="D43" s="4" t="str">
        <f t="shared" si="3"/>
        <v>Normal Use</v>
      </c>
      <c r="E43" s="4">
        <v>18.5</v>
      </c>
      <c r="F43" s="4" t="s">
        <v>161</v>
      </c>
      <c r="G43" s="4">
        <v>16</v>
      </c>
      <c r="H43" s="4">
        <v>16</v>
      </c>
      <c r="I43" s="4" t="s">
        <v>311</v>
      </c>
      <c r="J43" s="4" t="s">
        <v>311</v>
      </c>
      <c r="K43" s="4" t="s">
        <v>311</v>
      </c>
      <c r="L43" s="4" t="s">
        <v>311</v>
      </c>
      <c r="M43" s="4" t="s">
        <v>311</v>
      </c>
      <c r="N43" s="4"/>
      <c r="O43" s="4" t="s">
        <v>303</v>
      </c>
      <c r="P43" s="4" t="s">
        <v>311</v>
      </c>
      <c r="Q43" s="4"/>
      <c r="R43" s="4" t="s">
        <v>311</v>
      </c>
      <c r="S43" s="3">
        <v>5</v>
      </c>
      <c r="T43" s="3">
        <v>7</v>
      </c>
      <c r="U43" s="3">
        <v>182921.64</v>
      </c>
      <c r="V43" s="3">
        <v>304889.73</v>
      </c>
      <c r="W43" s="5">
        <f t="shared" si="4"/>
        <v>40.004000790712098</v>
      </c>
      <c r="X43" s="5" t="str">
        <f t="shared" si="5"/>
        <v>Yes</v>
      </c>
      <c r="Y43" s="3">
        <v>21761.01</v>
      </c>
      <c r="Z43" s="6" t="s">
        <v>368</v>
      </c>
      <c r="AA43" s="6"/>
      <c r="AB43" s="3" t="s">
        <v>89</v>
      </c>
      <c r="AC43" s="3" t="s">
        <v>88</v>
      </c>
      <c r="AD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7.6" x14ac:dyDescent="0.25">
      <c r="A44" s="3" t="s">
        <v>343</v>
      </c>
      <c r="B44" s="4" t="s">
        <v>212</v>
      </c>
      <c r="C44" s="4" t="s">
        <v>213</v>
      </c>
      <c r="D44" s="4" t="str">
        <f t="shared" si="3"/>
        <v>Normal Use</v>
      </c>
      <c r="E44" s="4">
        <v>15.6</v>
      </c>
      <c r="F44" s="4" t="s">
        <v>155</v>
      </c>
      <c r="G44" s="4">
        <v>24</v>
      </c>
      <c r="H44" s="4">
        <v>1000</v>
      </c>
      <c r="I44" s="4" t="s">
        <v>140</v>
      </c>
      <c r="J44" s="4" t="s">
        <v>214</v>
      </c>
      <c r="K44" s="4" t="s">
        <v>311</v>
      </c>
      <c r="L44" s="4" t="s">
        <v>265</v>
      </c>
      <c r="M44" s="4" t="s">
        <v>265</v>
      </c>
      <c r="N44" s="4"/>
      <c r="O44" s="4" t="s">
        <v>304</v>
      </c>
      <c r="P44" s="4" t="s">
        <v>208</v>
      </c>
      <c r="Q44" s="4" t="s">
        <v>319</v>
      </c>
      <c r="R44" s="4" t="s">
        <v>311</v>
      </c>
      <c r="S44" s="3">
        <v>4</v>
      </c>
      <c r="T44" s="3">
        <v>21</v>
      </c>
      <c r="U44" s="3">
        <v>191247.98</v>
      </c>
      <c r="V44" s="3">
        <v>249454.73</v>
      </c>
      <c r="W44" s="5">
        <f t="shared" si="4"/>
        <v>23.33359243178111</v>
      </c>
      <c r="X44" s="5" t="str">
        <f t="shared" si="5"/>
        <v>Yes</v>
      </c>
      <c r="Y44" s="3">
        <v>17680.990000000002</v>
      </c>
      <c r="Z44" s="6" t="s">
        <v>368</v>
      </c>
      <c r="AA44" s="6"/>
      <c r="AB44" s="3" t="s">
        <v>90</v>
      </c>
      <c r="AC44" s="3" t="s">
        <v>344</v>
      </c>
      <c r="AD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27.6" x14ac:dyDescent="0.25">
      <c r="A45" s="3" t="s">
        <v>451</v>
      </c>
      <c r="B45" s="4" t="s">
        <v>235</v>
      </c>
      <c r="C45" s="4" t="s">
        <v>452</v>
      </c>
      <c r="D45" s="4" t="str">
        <f t="shared" si="3"/>
        <v>Office / Business</v>
      </c>
      <c r="E45" s="4"/>
      <c r="F45" s="4" t="s">
        <v>250</v>
      </c>
      <c r="G45" s="4">
        <v>16</v>
      </c>
      <c r="H45" s="4">
        <v>16</v>
      </c>
      <c r="I45" s="4" t="s">
        <v>140</v>
      </c>
      <c r="J45" s="4" t="s">
        <v>311</v>
      </c>
      <c r="K45" s="4" t="s">
        <v>311</v>
      </c>
      <c r="L45" s="4" t="s">
        <v>269</v>
      </c>
      <c r="M45" s="4" t="s">
        <v>269</v>
      </c>
      <c r="N45" s="4"/>
      <c r="O45" s="4" t="s">
        <v>311</v>
      </c>
      <c r="P45" s="4" t="s">
        <v>311</v>
      </c>
      <c r="Q45" s="4" t="s">
        <v>361</v>
      </c>
      <c r="R45" s="4" t="s">
        <v>251</v>
      </c>
      <c r="S45" s="3">
        <v>5</v>
      </c>
      <c r="T45" s="3">
        <v>2</v>
      </c>
      <c r="U45" s="3">
        <v>376680.82</v>
      </c>
      <c r="V45" s="3">
        <v>376680.82</v>
      </c>
      <c r="W45" s="5">
        <f t="shared" si="4"/>
        <v>0</v>
      </c>
      <c r="X45" s="5" t="str">
        <f t="shared" si="5"/>
        <v>No</v>
      </c>
      <c r="Y45" s="3">
        <v>21115.19</v>
      </c>
      <c r="Z45" s="6" t="s">
        <v>368</v>
      </c>
      <c r="AA45" s="6"/>
      <c r="AB45" s="3" t="s">
        <v>92</v>
      </c>
      <c r="AC45" s="3" t="s">
        <v>91</v>
      </c>
      <c r="AD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27.6" x14ac:dyDescent="0.25">
      <c r="A46" s="3" t="s">
        <v>335</v>
      </c>
      <c r="B46" s="4" t="s">
        <v>216</v>
      </c>
      <c r="C46" s="4" t="s">
        <v>231</v>
      </c>
      <c r="D46" s="4" t="str">
        <f t="shared" si="3"/>
        <v>Office / Business</v>
      </c>
      <c r="E46" s="4">
        <v>15.6</v>
      </c>
      <c r="F46" s="4" t="s">
        <v>232</v>
      </c>
      <c r="G46" s="4">
        <v>24</v>
      </c>
      <c r="H46" s="4">
        <v>24</v>
      </c>
      <c r="I46" s="4" t="s">
        <v>311</v>
      </c>
      <c r="J46" s="4" t="s">
        <v>311</v>
      </c>
      <c r="K46" s="4" t="s">
        <v>311</v>
      </c>
      <c r="L46" s="4" t="s">
        <v>265</v>
      </c>
      <c r="M46" s="4" t="s">
        <v>265</v>
      </c>
      <c r="N46" s="4"/>
      <c r="O46" s="4" t="s">
        <v>311</v>
      </c>
      <c r="P46" s="4" t="s">
        <v>311</v>
      </c>
      <c r="Q46" s="4" t="s">
        <v>357</v>
      </c>
      <c r="R46" s="4" t="s">
        <v>271</v>
      </c>
      <c r="S46" s="3">
        <v>4.4000000000000004</v>
      </c>
      <c r="T46" s="3">
        <v>11</v>
      </c>
      <c r="U46" s="3">
        <v>188476.23</v>
      </c>
      <c r="V46" s="3">
        <v>235595.98</v>
      </c>
      <c r="W46" s="5">
        <f t="shared" si="4"/>
        <v>20.000235148324684</v>
      </c>
      <c r="X46" s="5" t="str">
        <f t="shared" si="5"/>
        <v>Yes</v>
      </c>
      <c r="Y46" s="3">
        <v>19036.38</v>
      </c>
      <c r="Z46" s="6" t="s">
        <v>368</v>
      </c>
      <c r="AA46" s="6"/>
      <c r="AB46" s="3"/>
      <c r="AC46" s="3" t="s">
        <v>93</v>
      </c>
      <c r="AD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27.6" x14ac:dyDescent="0.25">
      <c r="A47" s="3" t="s">
        <v>343</v>
      </c>
      <c r="B47" s="4" t="s">
        <v>212</v>
      </c>
      <c r="C47" s="4" t="s">
        <v>213</v>
      </c>
      <c r="D47" s="4" t="str">
        <f t="shared" si="3"/>
        <v>Normal Use</v>
      </c>
      <c r="E47" s="4">
        <v>15.6</v>
      </c>
      <c r="F47" s="4" t="s">
        <v>155</v>
      </c>
      <c r="G47" s="4">
        <v>24</v>
      </c>
      <c r="H47" s="4">
        <v>1000</v>
      </c>
      <c r="I47" s="4" t="s">
        <v>140</v>
      </c>
      <c r="J47" s="4" t="s">
        <v>214</v>
      </c>
      <c r="K47" s="4" t="s">
        <v>311</v>
      </c>
      <c r="L47" s="4" t="s">
        <v>265</v>
      </c>
      <c r="M47" s="4" t="s">
        <v>265</v>
      </c>
      <c r="N47" s="4"/>
      <c r="O47" s="4" t="s">
        <v>304</v>
      </c>
      <c r="P47" s="4" t="s">
        <v>208</v>
      </c>
      <c r="Q47" s="4" t="s">
        <v>319</v>
      </c>
      <c r="R47" s="4" t="s">
        <v>311</v>
      </c>
      <c r="S47" s="3">
        <v>4</v>
      </c>
      <c r="T47" s="3">
        <v>21</v>
      </c>
      <c r="U47" s="3">
        <v>191247.98</v>
      </c>
      <c r="V47" s="3">
        <v>249454.73</v>
      </c>
      <c r="W47" s="5">
        <f t="shared" si="4"/>
        <v>23.33359243178111</v>
      </c>
      <c r="X47" s="5" t="str">
        <f t="shared" si="5"/>
        <v>Yes</v>
      </c>
      <c r="Y47" s="3">
        <v>17680.990000000002</v>
      </c>
      <c r="Z47" s="6" t="s">
        <v>368</v>
      </c>
      <c r="AA47" s="6"/>
      <c r="AB47" s="3" t="s">
        <v>90</v>
      </c>
      <c r="AC47" s="3" t="s">
        <v>345</v>
      </c>
      <c r="AD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27.6" x14ac:dyDescent="0.25">
      <c r="A48" s="3" t="s">
        <v>448</v>
      </c>
      <c r="B48" s="4" t="s">
        <v>128</v>
      </c>
      <c r="C48" s="4" t="s">
        <v>215</v>
      </c>
      <c r="D48" s="4" t="str">
        <f t="shared" si="3"/>
        <v>Gaming</v>
      </c>
      <c r="E48" s="4">
        <v>18</v>
      </c>
      <c r="F48" s="4" t="s">
        <v>139</v>
      </c>
      <c r="G48" s="4">
        <v>16</v>
      </c>
      <c r="H48" s="4">
        <v>1000</v>
      </c>
      <c r="I48" s="4" t="s">
        <v>132</v>
      </c>
      <c r="J48" s="4" t="s">
        <v>133</v>
      </c>
      <c r="K48" s="4" t="s">
        <v>230</v>
      </c>
      <c r="L48" s="4" t="s">
        <v>265</v>
      </c>
      <c r="M48" s="4" t="s">
        <v>268</v>
      </c>
      <c r="N48" s="4">
        <v>144</v>
      </c>
      <c r="O48" s="4" t="s">
        <v>311</v>
      </c>
      <c r="P48" s="4" t="s">
        <v>136</v>
      </c>
      <c r="Q48" s="4" t="s">
        <v>330</v>
      </c>
      <c r="R48" s="4" t="s">
        <v>296</v>
      </c>
      <c r="S48" s="3">
        <v>4.4000000000000004</v>
      </c>
      <c r="T48" s="3">
        <v>59</v>
      </c>
      <c r="U48" s="3">
        <v>457053.26</v>
      </c>
      <c r="V48" s="3">
        <v>457053.26</v>
      </c>
      <c r="W48" s="5">
        <f t="shared" si="4"/>
        <v>0</v>
      </c>
      <c r="X48" s="5" t="str">
        <f t="shared" si="5"/>
        <v>No</v>
      </c>
      <c r="Y48" s="3">
        <v>26575.54</v>
      </c>
      <c r="Z48" s="6" t="s">
        <v>371</v>
      </c>
      <c r="AA48" s="6"/>
      <c r="AB48" s="3" t="s">
        <v>95</v>
      </c>
      <c r="AC48" s="3" t="s">
        <v>94</v>
      </c>
      <c r="AD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27.6" x14ac:dyDescent="0.25">
      <c r="A49" s="3" t="s">
        <v>346</v>
      </c>
      <c r="B49" s="4" t="s">
        <v>216</v>
      </c>
      <c r="C49" s="4" t="s">
        <v>216</v>
      </c>
      <c r="D49" s="4" t="str">
        <f t="shared" si="3"/>
        <v>Normal Use</v>
      </c>
      <c r="E49" s="4">
        <v>15.6</v>
      </c>
      <c r="F49" s="4" t="s">
        <v>155</v>
      </c>
      <c r="G49" s="4">
        <v>24</v>
      </c>
      <c r="H49" s="4">
        <v>1000</v>
      </c>
      <c r="I49" s="4" t="s">
        <v>140</v>
      </c>
      <c r="J49" s="4" t="s">
        <v>217</v>
      </c>
      <c r="K49" s="4" t="s">
        <v>311</v>
      </c>
      <c r="L49" s="4" t="s">
        <v>265</v>
      </c>
      <c r="M49" s="4" t="s">
        <v>265</v>
      </c>
      <c r="N49" s="4"/>
      <c r="O49" s="4" t="s">
        <v>304</v>
      </c>
      <c r="P49" s="4" t="s">
        <v>208</v>
      </c>
      <c r="Q49" s="4" t="s">
        <v>331</v>
      </c>
      <c r="R49" s="4" t="s">
        <v>311</v>
      </c>
      <c r="S49" s="3">
        <v>4.0999999999999996</v>
      </c>
      <c r="T49" s="3">
        <v>19</v>
      </c>
      <c r="U49" s="3">
        <v>202334.98</v>
      </c>
      <c r="V49" s="3">
        <v>202334.98</v>
      </c>
      <c r="W49" s="5">
        <f t="shared" si="4"/>
        <v>0</v>
      </c>
      <c r="X49" s="5" t="str">
        <f t="shared" si="5"/>
        <v>No</v>
      </c>
      <c r="Y49" s="3">
        <v>19008.66</v>
      </c>
      <c r="Z49" s="6" t="s">
        <v>368</v>
      </c>
      <c r="AA49" s="6"/>
      <c r="AB49" s="3" t="s">
        <v>97</v>
      </c>
      <c r="AC49" s="3" t="s">
        <v>96</v>
      </c>
      <c r="AD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27.6" x14ac:dyDescent="0.25">
      <c r="A50" s="3" t="s">
        <v>98</v>
      </c>
      <c r="B50" s="4" t="s">
        <v>173</v>
      </c>
      <c r="C50" s="4" t="s">
        <v>218</v>
      </c>
      <c r="D50" s="4" t="str">
        <f t="shared" si="3"/>
        <v>Gaming</v>
      </c>
      <c r="E50" s="4">
        <v>15.3</v>
      </c>
      <c r="F50" s="4" t="s">
        <v>167</v>
      </c>
      <c r="G50" s="4">
        <v>16</v>
      </c>
      <c r="H50" s="4">
        <v>1000</v>
      </c>
      <c r="I50" s="4" t="s">
        <v>132</v>
      </c>
      <c r="J50" s="4" t="s">
        <v>133</v>
      </c>
      <c r="K50" s="4" t="s">
        <v>171</v>
      </c>
      <c r="L50" s="4" t="s">
        <v>311</v>
      </c>
      <c r="M50" s="4" t="s">
        <v>311</v>
      </c>
      <c r="N50" s="4"/>
      <c r="O50" s="4" t="s">
        <v>311</v>
      </c>
      <c r="P50" s="4" t="s">
        <v>136</v>
      </c>
      <c r="Q50" s="4" t="s">
        <v>313</v>
      </c>
      <c r="R50" s="4" t="s">
        <v>311</v>
      </c>
      <c r="S50" s="3">
        <v>0</v>
      </c>
      <c r="T50" s="3">
        <v>0</v>
      </c>
      <c r="U50" s="3">
        <v>388042.23</v>
      </c>
      <c r="V50" s="3">
        <v>388042.23</v>
      </c>
      <c r="W50" s="5">
        <f t="shared" si="4"/>
        <v>0</v>
      </c>
      <c r="X50" s="5" t="str">
        <f t="shared" si="5"/>
        <v>No</v>
      </c>
      <c r="Y50" s="3">
        <v>21691.72</v>
      </c>
      <c r="Z50" s="6" t="s">
        <v>371</v>
      </c>
      <c r="AA50" s="6"/>
      <c r="AB50" s="3" t="s">
        <v>100</v>
      </c>
      <c r="AC50" s="3" t="s">
        <v>99</v>
      </c>
      <c r="AD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27.6" x14ac:dyDescent="0.25">
      <c r="A51" s="3" t="s">
        <v>449</v>
      </c>
      <c r="B51" s="4" t="s">
        <v>128</v>
      </c>
      <c r="C51" s="4" t="s">
        <v>184</v>
      </c>
      <c r="D51" s="4" t="str">
        <f t="shared" si="3"/>
        <v>Gaming</v>
      </c>
      <c r="E51" s="4">
        <v>18</v>
      </c>
      <c r="F51" s="4" t="s">
        <v>158</v>
      </c>
      <c r="G51" s="4">
        <v>32</v>
      </c>
      <c r="H51" s="4">
        <v>2000</v>
      </c>
      <c r="I51" s="4" t="s">
        <v>140</v>
      </c>
      <c r="J51" s="4" t="s">
        <v>133</v>
      </c>
      <c r="K51" s="4" t="s">
        <v>301</v>
      </c>
      <c r="L51" s="4" t="s">
        <v>279</v>
      </c>
      <c r="M51" s="4" t="s">
        <v>311</v>
      </c>
      <c r="N51" s="4">
        <v>240</v>
      </c>
      <c r="O51" s="4" t="s">
        <v>311</v>
      </c>
      <c r="P51" s="4" t="s">
        <v>197</v>
      </c>
      <c r="Q51" s="4" t="s">
        <v>219</v>
      </c>
      <c r="R51" s="4" t="s">
        <v>267</v>
      </c>
      <c r="S51" s="3">
        <v>3.9</v>
      </c>
      <c r="T51" s="3">
        <v>73</v>
      </c>
      <c r="U51" s="3">
        <v>942392.23</v>
      </c>
      <c r="V51" s="3">
        <v>942392.23</v>
      </c>
      <c r="W51" s="5">
        <f t="shared" si="4"/>
        <v>0</v>
      </c>
      <c r="X51" s="5" t="str">
        <f t="shared" si="5"/>
        <v>No</v>
      </c>
      <c r="Y51" s="3">
        <v>29962.62</v>
      </c>
      <c r="Z51" s="6"/>
      <c r="AA51" s="6"/>
      <c r="AB51" s="3" t="s">
        <v>58</v>
      </c>
      <c r="AC51" s="3" t="s">
        <v>101</v>
      </c>
      <c r="AD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x14ac:dyDescent="0.25">
      <c r="A52" s="3" t="s">
        <v>347</v>
      </c>
      <c r="B52" s="4" t="s">
        <v>220</v>
      </c>
      <c r="C52" s="4" t="s">
        <v>221</v>
      </c>
      <c r="D52" s="4" t="str">
        <f t="shared" si="3"/>
        <v>Office / Business</v>
      </c>
      <c r="E52" s="4">
        <v>15.6</v>
      </c>
      <c r="F52" s="4" t="s">
        <v>223</v>
      </c>
      <c r="G52" s="4">
        <v>12</v>
      </c>
      <c r="H52" s="4">
        <v>256</v>
      </c>
      <c r="I52" s="4" t="s">
        <v>132</v>
      </c>
      <c r="J52" s="4" t="s">
        <v>142</v>
      </c>
      <c r="K52" s="4" t="s">
        <v>311</v>
      </c>
      <c r="L52" s="4" t="s">
        <v>311</v>
      </c>
      <c r="M52" s="4" t="s">
        <v>311</v>
      </c>
      <c r="N52" s="4"/>
      <c r="O52" s="4" t="s">
        <v>311</v>
      </c>
      <c r="P52" s="4" t="s">
        <v>222</v>
      </c>
      <c r="Q52" s="4" t="s">
        <v>356</v>
      </c>
      <c r="R52" s="4" t="s">
        <v>311</v>
      </c>
      <c r="S52" s="3">
        <v>4.4000000000000004</v>
      </c>
      <c r="T52" s="3">
        <v>2300</v>
      </c>
      <c r="U52" s="3">
        <v>91462.21</v>
      </c>
      <c r="V52" s="3">
        <v>155215.23000000001</v>
      </c>
      <c r="W52" s="5">
        <f t="shared" si="4"/>
        <v>41.073946158505194</v>
      </c>
      <c r="X52" s="5" t="str">
        <f t="shared" si="5"/>
        <v>Yes</v>
      </c>
      <c r="Y52" s="3">
        <v>18274.150000000001</v>
      </c>
      <c r="Z52" s="6" t="s">
        <v>368</v>
      </c>
      <c r="AA52" s="6"/>
      <c r="AB52" s="3" t="s">
        <v>103</v>
      </c>
      <c r="AC52" s="3" t="s">
        <v>102</v>
      </c>
      <c r="AD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27.6" x14ac:dyDescent="0.25">
      <c r="A53" s="3" t="s">
        <v>104</v>
      </c>
      <c r="B53" s="4" t="s">
        <v>134</v>
      </c>
      <c r="C53" s="4" t="s">
        <v>224</v>
      </c>
      <c r="D53" s="4" t="str">
        <f t="shared" si="3"/>
        <v>Gaming</v>
      </c>
      <c r="E53" s="4">
        <v>15.6</v>
      </c>
      <c r="F53" s="4" t="s">
        <v>164</v>
      </c>
      <c r="G53" s="4">
        <v>8</v>
      </c>
      <c r="H53" s="4">
        <v>512</v>
      </c>
      <c r="I53" s="4" t="s">
        <v>132</v>
      </c>
      <c r="J53" s="4" t="s">
        <v>133</v>
      </c>
      <c r="K53" s="4" t="s">
        <v>211</v>
      </c>
      <c r="L53" s="4" t="s">
        <v>265</v>
      </c>
      <c r="M53" s="4" t="s">
        <v>265</v>
      </c>
      <c r="N53" s="4">
        <v>165</v>
      </c>
      <c r="O53" s="4" t="s">
        <v>311</v>
      </c>
      <c r="P53" s="4" t="s">
        <v>136</v>
      </c>
      <c r="Q53" s="4" t="s">
        <v>313</v>
      </c>
      <c r="R53" s="4" t="s">
        <v>270</v>
      </c>
      <c r="S53" s="3">
        <v>4.5</v>
      </c>
      <c r="T53" s="3">
        <v>410</v>
      </c>
      <c r="U53" s="3">
        <v>263313.48</v>
      </c>
      <c r="V53" s="3">
        <v>263313.48</v>
      </c>
      <c r="W53" s="5">
        <f t="shared" si="4"/>
        <v>0</v>
      </c>
      <c r="X53" s="5" t="str">
        <f t="shared" si="5"/>
        <v>No</v>
      </c>
      <c r="Y53" s="3">
        <v>22356.94</v>
      </c>
      <c r="Z53" s="6" t="s">
        <v>368</v>
      </c>
      <c r="AA53" s="6"/>
      <c r="AB53" s="3" t="s">
        <v>106</v>
      </c>
      <c r="AC53" s="3" t="s">
        <v>105</v>
      </c>
      <c r="AD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27.6" x14ac:dyDescent="0.25">
      <c r="A54" s="3" t="s">
        <v>450</v>
      </c>
      <c r="B54" s="4" t="s">
        <v>156</v>
      </c>
      <c r="C54" s="4" t="s">
        <v>225</v>
      </c>
      <c r="D54" s="4" t="str">
        <f t="shared" si="3"/>
        <v>Gaming</v>
      </c>
      <c r="E54" s="4">
        <v>16</v>
      </c>
      <c r="F54" s="4" t="s">
        <v>226</v>
      </c>
      <c r="G54" s="4">
        <v>32</v>
      </c>
      <c r="H54" s="4">
        <v>1000</v>
      </c>
      <c r="I54" s="4" t="s">
        <v>132</v>
      </c>
      <c r="J54" s="4" t="s">
        <v>227</v>
      </c>
      <c r="K54" s="4" t="s">
        <v>305</v>
      </c>
      <c r="L54" s="4" t="s">
        <v>283</v>
      </c>
      <c r="M54" s="4" t="s">
        <v>285</v>
      </c>
      <c r="N54" s="4">
        <v>240</v>
      </c>
      <c r="O54" s="4" t="s">
        <v>311</v>
      </c>
      <c r="P54" s="4" t="s">
        <v>136</v>
      </c>
      <c r="Q54" s="4" t="s">
        <v>141</v>
      </c>
      <c r="R54" s="4" t="s">
        <v>267</v>
      </c>
      <c r="S54" s="3">
        <v>4.0999999999999996</v>
      </c>
      <c r="T54" s="3">
        <v>6</v>
      </c>
      <c r="U54" s="3">
        <v>859239.73</v>
      </c>
      <c r="V54" s="3">
        <v>859239.73</v>
      </c>
      <c r="W54" s="5">
        <f t="shared" si="4"/>
        <v>0</v>
      </c>
      <c r="X54" s="5" t="str">
        <f t="shared" si="5"/>
        <v>No</v>
      </c>
      <c r="Y54" s="3">
        <v>23435.15</v>
      </c>
      <c r="Z54" s="6" t="s">
        <v>368</v>
      </c>
      <c r="AA54" s="6"/>
      <c r="AB54" s="3" t="s">
        <v>108</v>
      </c>
      <c r="AC54" s="3" t="s">
        <v>107</v>
      </c>
      <c r="AD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x14ac:dyDescent="0.25">
      <c r="A55" s="3" t="s">
        <v>348</v>
      </c>
      <c r="B55" s="4" t="s">
        <v>252</v>
      </c>
      <c r="C55" s="4" t="s">
        <v>253</v>
      </c>
      <c r="D55" s="4" t="str">
        <f t="shared" si="3"/>
        <v>Office / Business</v>
      </c>
      <c r="E55" s="4">
        <v>15.6</v>
      </c>
      <c r="F55" s="4" t="s">
        <v>311</v>
      </c>
      <c r="G55" s="4">
        <v>16</v>
      </c>
      <c r="H55" s="4">
        <v>16</v>
      </c>
      <c r="I55" s="4" t="s">
        <v>254</v>
      </c>
      <c r="J55" s="4" t="s">
        <v>311</v>
      </c>
      <c r="K55" s="4" t="s">
        <v>311</v>
      </c>
      <c r="L55" s="4" t="s">
        <v>265</v>
      </c>
      <c r="M55" s="4" t="s">
        <v>265</v>
      </c>
      <c r="N55" s="4"/>
      <c r="O55" s="4" t="s">
        <v>311</v>
      </c>
      <c r="P55" s="4" t="s">
        <v>311</v>
      </c>
      <c r="Q55" s="4" t="s">
        <v>306</v>
      </c>
      <c r="R55" s="4" t="s">
        <v>255</v>
      </c>
      <c r="S55" s="3">
        <v>3.2</v>
      </c>
      <c r="T55" s="3">
        <v>18</v>
      </c>
      <c r="U55" s="3">
        <v>97008.48</v>
      </c>
      <c r="V55" s="3">
        <v>97008.48</v>
      </c>
      <c r="W55" s="5">
        <f t="shared" si="4"/>
        <v>0</v>
      </c>
      <c r="X55" s="5" t="str">
        <f t="shared" si="5"/>
        <v>No</v>
      </c>
      <c r="Y55" s="3">
        <v>18152.189999999999</v>
      </c>
      <c r="Z55" s="6" t="s">
        <v>368</v>
      </c>
      <c r="AA55" s="6"/>
      <c r="AB55" s="3" t="s">
        <v>110</v>
      </c>
      <c r="AC55" s="3" t="s">
        <v>109</v>
      </c>
      <c r="AD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x14ac:dyDescent="0.25">
      <c r="A56" s="3"/>
      <c r="B56" s="4" t="s">
        <v>311</v>
      </c>
      <c r="C56" s="4" t="s">
        <v>311</v>
      </c>
      <c r="D56" s="4" t="str">
        <f t="shared" si="3"/>
        <v>Normal Use</v>
      </c>
      <c r="E56" s="4"/>
      <c r="F56" s="4" t="s">
        <v>311</v>
      </c>
      <c r="G56" s="4"/>
      <c r="H56" s="4"/>
      <c r="I56" s="4" t="s">
        <v>311</v>
      </c>
      <c r="J56" s="4" t="s">
        <v>311</v>
      </c>
      <c r="K56" s="4" t="s">
        <v>311</v>
      </c>
      <c r="L56" s="4" t="s">
        <v>311</v>
      </c>
      <c r="M56" s="4" t="s">
        <v>311</v>
      </c>
      <c r="N56" s="4"/>
      <c r="O56" s="4" t="s">
        <v>311</v>
      </c>
      <c r="P56" s="4" t="s">
        <v>311</v>
      </c>
      <c r="Q56" s="4"/>
      <c r="R56" s="4" t="s">
        <v>311</v>
      </c>
      <c r="S56" s="3">
        <v>3</v>
      </c>
      <c r="T56" s="3">
        <v>2</v>
      </c>
      <c r="U56" s="3">
        <v>1856795.32</v>
      </c>
      <c r="V56" s="3">
        <v>1856795.32</v>
      </c>
      <c r="W56" s="5">
        <f t="shared" si="4"/>
        <v>0</v>
      </c>
      <c r="X56" s="5" t="str">
        <f t="shared" si="5"/>
        <v>No</v>
      </c>
      <c r="Y56" s="3">
        <v>32936.71</v>
      </c>
      <c r="Z56" s="6" t="s">
        <v>368</v>
      </c>
      <c r="AA56" s="6"/>
      <c r="AB56" s="3" t="s">
        <v>113</v>
      </c>
      <c r="AC56" s="3" t="s">
        <v>112</v>
      </c>
      <c r="AD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27.6" x14ac:dyDescent="0.25">
      <c r="A57" s="3" t="s">
        <v>111</v>
      </c>
      <c r="B57" s="4" t="s">
        <v>128</v>
      </c>
      <c r="C57" s="4" t="s">
        <v>228</v>
      </c>
      <c r="D57" s="4" t="str">
        <f t="shared" si="3"/>
        <v>Gaming</v>
      </c>
      <c r="E57" s="4">
        <v>16</v>
      </c>
      <c r="F57" s="4" t="s">
        <v>131</v>
      </c>
      <c r="G57" s="4">
        <v>16</v>
      </c>
      <c r="H57" s="4">
        <v>512</v>
      </c>
      <c r="I57" s="4" t="s">
        <v>132</v>
      </c>
      <c r="J57" s="4" t="s">
        <v>133</v>
      </c>
      <c r="K57" s="4" t="s">
        <v>308</v>
      </c>
      <c r="L57" s="4" t="s">
        <v>307</v>
      </c>
      <c r="M57" s="4" t="s">
        <v>307</v>
      </c>
      <c r="N57" s="4">
        <v>240</v>
      </c>
      <c r="O57" s="4" t="s">
        <v>311</v>
      </c>
      <c r="P57" s="4" t="s">
        <v>229</v>
      </c>
      <c r="Q57" s="4" t="s">
        <v>141</v>
      </c>
      <c r="R57" s="4" t="s">
        <v>309</v>
      </c>
      <c r="S57" s="3">
        <v>5</v>
      </c>
      <c r="T57" s="3">
        <v>1</v>
      </c>
      <c r="U57" s="3">
        <v>362614.19</v>
      </c>
      <c r="V57" s="3">
        <v>362614.19</v>
      </c>
      <c r="W57" s="5">
        <f t="shared" si="4"/>
        <v>0</v>
      </c>
      <c r="X57" s="5" t="str">
        <f t="shared" si="5"/>
        <v>No</v>
      </c>
      <c r="Y57" s="3">
        <v>23033.24</v>
      </c>
      <c r="Z57" s="6" t="s">
        <v>368</v>
      </c>
      <c r="AA57" s="6"/>
      <c r="AB57" s="3" t="s">
        <v>115</v>
      </c>
      <c r="AC57" s="3" t="s">
        <v>114</v>
      </c>
      <c r="AD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x14ac:dyDescent="0.25">
      <c r="A58" s="3" t="s">
        <v>349</v>
      </c>
      <c r="B58" s="4" t="s">
        <v>166</v>
      </c>
      <c r="C58" s="4" t="s">
        <v>256</v>
      </c>
      <c r="D58" s="4" t="str">
        <f t="shared" si="3"/>
        <v>Normal Use</v>
      </c>
      <c r="E58" s="4"/>
      <c r="F58" s="4" t="s">
        <v>257</v>
      </c>
      <c r="G58" s="4">
        <v>16</v>
      </c>
      <c r="H58" s="4">
        <v>16</v>
      </c>
      <c r="I58" s="4" t="s">
        <v>311</v>
      </c>
      <c r="J58" s="4" t="s">
        <v>311</v>
      </c>
      <c r="K58" s="4" t="s">
        <v>311</v>
      </c>
      <c r="L58" s="4" t="s">
        <v>311</v>
      </c>
      <c r="M58" s="4" t="s">
        <v>311</v>
      </c>
      <c r="N58" s="4"/>
      <c r="O58" s="4" t="s">
        <v>311</v>
      </c>
      <c r="P58" s="4" t="s">
        <v>311</v>
      </c>
      <c r="Q58" s="4" t="s">
        <v>362</v>
      </c>
      <c r="R58" s="4" t="s">
        <v>311</v>
      </c>
      <c r="S58" s="3">
        <v>4.9000000000000004</v>
      </c>
      <c r="T58" s="3">
        <v>16</v>
      </c>
      <c r="U58" s="3">
        <v>8004.81</v>
      </c>
      <c r="V58" s="3">
        <v>8004.81</v>
      </c>
      <c r="W58" s="5">
        <f t="shared" si="4"/>
        <v>0</v>
      </c>
      <c r="X58" s="5" t="str">
        <f t="shared" si="5"/>
        <v>No</v>
      </c>
      <c r="Y58" s="3">
        <v>13007.82</v>
      </c>
      <c r="Z58" s="6" t="s">
        <v>368</v>
      </c>
      <c r="AA58" s="6"/>
      <c r="AB58" s="3" t="s">
        <v>118</v>
      </c>
      <c r="AC58" s="3" t="s">
        <v>117</v>
      </c>
      <c r="AD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x14ac:dyDescent="0.25">
      <c r="A59" s="9" t="s">
        <v>116</v>
      </c>
      <c r="B59" s="4" t="s">
        <v>166</v>
      </c>
      <c r="C59" s="4" t="s">
        <v>258</v>
      </c>
      <c r="D59" s="4" t="str">
        <f>IF(OR(ISNUMBER(SEARCH("charger",#REF!)),ISNUMBER(SEARCH("cable",#REF!)),ISNUMBER(SEARCH("adapter",#REF!)),ISNUMBER(SEARCH("dock",#REF!)),ISNUMBER(SEARCH("replacement",#REF!))),"Accessory / Other",IF(OR(J59="Dedicated",ISNUMBER(SEARCH("rtx",J59&amp;" "&amp;K59)),ISNUMBER(SEARCH("gtx",J59&amp;" "&amp;K59)),ISNUMBER(SEARCH("rx 5",J59&amp;" "&amp;K59)),ISNUMBER(SEARCH("rx 6",J59&amp;" "&amp;K59)),ISNUMBER(SEARCH("rx 7",J59&amp;" "&amp;K59)),ISNUMBER(SEARCH("rx 8",J59&amp;" "&amp;K59)),ISNUMBER(SEARCH("rx 9",J59&amp;" "&amp;K59)),AND(IFERROR(N59&gt;=120,FALSE),ISNUMBER(SEARCH("gaming",#REF!&amp;" "&amp;C59)))),"Gaming",IF(OR(ISNUMBER(SEARCH("thinkpad",C59)),ISNUMBER(SEARCH("latitude",C59)),ISNUMBER(SEARCH("probook",C59)),ISNUMBER(SEARCH("elitebook",C59)),ISNUMBER(SEARCH("office",#REF!&amp;" "&amp;Q59)),ISNUMBER(SEARCH("business",#REF!&amp;" "&amp;Q59)),AND(ISNUMBER(SEARCH("windows 11 pro",I59)),J59="Integrated")),"Office / Business",IF(OR(ISNUMBER(SEARCH("creator",#REF!&amp;" "&amp;Q59)),ISNUMBER(SEARCH("studio",#REF!&amp;" "&amp;C59)),ISNUMBER(SEARCH("workstation",#REF!&amp;" "&amp;C59)),ISNUMBER(SEARCH("precision",#REF!&amp;" "&amp;C59)),ISNUMBER(SEARCH("zbook",#REF!&amp;" "&amp;C59))),"Creator / Professional","Normal Use"))))</f>
        <v>Normal Use</v>
      </c>
      <c r="E59" s="4"/>
      <c r="F59" s="4" t="s">
        <v>259</v>
      </c>
      <c r="G59" s="4"/>
      <c r="H59" s="4"/>
      <c r="I59" s="4" t="s">
        <v>311</v>
      </c>
      <c r="J59" s="4" t="s">
        <v>311</v>
      </c>
      <c r="K59" s="4" t="s">
        <v>311</v>
      </c>
      <c r="L59" s="4" t="s">
        <v>311</v>
      </c>
      <c r="M59" s="4" t="s">
        <v>311</v>
      </c>
      <c r="N59" s="4"/>
      <c r="O59" s="4" t="s">
        <v>310</v>
      </c>
      <c r="P59" s="4" t="s">
        <v>311</v>
      </c>
      <c r="Q59" s="4"/>
      <c r="R59" s="4" t="s">
        <v>311</v>
      </c>
      <c r="S59" s="3">
        <v>4.5999999999999996</v>
      </c>
      <c r="T59" s="3">
        <v>14</v>
      </c>
      <c r="U59" s="3">
        <v>72059.960000000006</v>
      </c>
      <c r="V59" s="3">
        <v>121954.23</v>
      </c>
      <c r="W59" s="5">
        <f t="shared" si="4"/>
        <v>40.912291439173529</v>
      </c>
      <c r="X59" s="5" t="str">
        <f t="shared" si="5"/>
        <v>Yes</v>
      </c>
      <c r="Y59" s="3">
        <v>18282.46</v>
      </c>
      <c r="Z59" s="6" t="s">
        <v>368</v>
      </c>
      <c r="AA59" s="6"/>
      <c r="AB59" s="3" t="s">
        <v>120</v>
      </c>
      <c r="AC59" s="3" t="s">
        <v>119</v>
      </c>
      <c r="AD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1:54" x14ac:dyDescent="0.25">
      <c r="W60" s="5"/>
      <c r="X60" s="5" t="str">
        <f t="shared" si="5"/>
        <v>No</v>
      </c>
    </row>
    <row r="62" spans="1:54" x14ac:dyDescent="0.25">
      <c r="E6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4E1B-21AF-4882-814C-1869F88EBAB2}">
  <dimension ref="A1:F60"/>
  <sheetViews>
    <sheetView zoomScale="113" workbookViewId="0">
      <selection activeCell="D8" sqref="D8"/>
    </sheetView>
  </sheetViews>
  <sheetFormatPr defaultRowHeight="13.8" x14ac:dyDescent="0.25"/>
  <cols>
    <col min="1" max="1" width="10.77734375" style="1" bestFit="1" customWidth="1"/>
    <col min="2" max="2" width="22" style="1" bestFit="1" customWidth="1"/>
    <col min="3" max="3" width="14.88671875" style="1" customWidth="1"/>
    <col min="4" max="4" width="14.6640625" style="1" customWidth="1"/>
    <col min="5" max="5" width="11.109375" bestFit="1" customWidth="1"/>
    <col min="6" max="6" width="22" bestFit="1" customWidth="1"/>
  </cols>
  <sheetData>
    <row r="1" spans="1:6" ht="34.799999999999997" x14ac:dyDescent="0.25">
      <c r="A1" t="s">
        <v>364</v>
      </c>
      <c r="B1" t="s">
        <v>366</v>
      </c>
      <c r="C1" s="7" t="s">
        <v>334</v>
      </c>
      <c r="D1" s="8" t="s">
        <v>426</v>
      </c>
      <c r="E1" t="str">
        <f>'Amazon.com _ gaming laptops_dat'!S1</f>
        <v xml:space="preserve">Rating(0-5) </v>
      </c>
      <c r="F1" t="str">
        <f>'Amazon.com _ gaming laptops_dat'!U1</f>
        <v>Discounted Price (PKR)</v>
      </c>
    </row>
    <row r="2" spans="1:6" x14ac:dyDescent="0.25">
      <c r="A2">
        <f>'Amazon.com _ gaming laptops_dat'!G2</f>
        <v>16</v>
      </c>
      <c r="B2">
        <f>'Amazon.com _ gaming laptops_dat'!U2</f>
        <v>438210.9</v>
      </c>
      <c r="C2" s="4">
        <v>1000</v>
      </c>
      <c r="D2" s="3">
        <v>4.4000000000000004</v>
      </c>
      <c r="E2">
        <f>'Amazon.com _ gaming laptops_dat'!S2</f>
        <v>4.4000000000000004</v>
      </c>
      <c r="F2">
        <f>'Amazon.com _ gaming laptops_dat'!U2</f>
        <v>438210.9</v>
      </c>
    </row>
    <row r="3" spans="1:6" x14ac:dyDescent="0.25">
      <c r="A3">
        <f>'Amazon.com _ gaming laptops_dat'!G3</f>
        <v>32</v>
      </c>
      <c r="B3">
        <f>'Amazon.com _ gaming laptops_dat'!U3</f>
        <v>401900.98</v>
      </c>
      <c r="C3" s="4">
        <v>1000</v>
      </c>
      <c r="D3" s="3">
        <v>4.4000000000000004</v>
      </c>
      <c r="E3">
        <f>'Amazon.com _ gaming laptops_dat'!S3</f>
        <v>4.4000000000000004</v>
      </c>
      <c r="F3">
        <f>'Amazon.com _ gaming laptops_dat'!U3</f>
        <v>401900.98</v>
      </c>
    </row>
    <row r="4" spans="1:6" x14ac:dyDescent="0.25">
      <c r="A4">
        <f>'Amazon.com _ gaming laptops_dat'!G4</f>
        <v>24</v>
      </c>
      <c r="B4">
        <f>'Amazon.com _ gaming laptops_dat'!U4</f>
        <v>188476.23</v>
      </c>
      <c r="C4" s="4">
        <v>24</v>
      </c>
      <c r="D4" s="3">
        <v>4.4000000000000004</v>
      </c>
      <c r="E4">
        <f>'Amazon.com _ gaming laptops_dat'!S4</f>
        <v>4.4000000000000004</v>
      </c>
      <c r="F4">
        <f>'Amazon.com _ gaming laptops_dat'!U4</f>
        <v>188476.23</v>
      </c>
    </row>
    <row r="5" spans="1:6" x14ac:dyDescent="0.25">
      <c r="A5">
        <f>'Amazon.com _ gaming laptops_dat'!G5</f>
        <v>16</v>
      </c>
      <c r="B5">
        <f>'Amazon.com _ gaming laptops_dat'!U5</f>
        <v>155215.23000000001</v>
      </c>
      <c r="C5" s="4">
        <v>512</v>
      </c>
      <c r="D5" s="3">
        <v>4.7</v>
      </c>
      <c r="E5">
        <f>'Amazon.com _ gaming laptops_dat'!S5</f>
        <v>4.7</v>
      </c>
      <c r="F5">
        <f>'Amazon.com _ gaming laptops_dat'!U5</f>
        <v>155215.23000000001</v>
      </c>
    </row>
    <row r="6" spans="1:6" x14ac:dyDescent="0.25">
      <c r="A6">
        <f>'Amazon.com _ gaming laptops_dat'!G6</f>
        <v>16</v>
      </c>
      <c r="B6">
        <f>'Amazon.com _ gaming laptops_dat'!U6</f>
        <v>182655.55</v>
      </c>
      <c r="C6" s="4">
        <v>512</v>
      </c>
      <c r="D6" s="3">
        <v>4.8</v>
      </c>
      <c r="E6">
        <f>'Amazon.com _ gaming laptops_dat'!S6</f>
        <v>4.8</v>
      </c>
      <c r="F6">
        <f>'Amazon.com _ gaming laptops_dat'!U6</f>
        <v>182655.55</v>
      </c>
    </row>
    <row r="7" spans="1:6" x14ac:dyDescent="0.25">
      <c r="A7">
        <f>'Amazon.com _ gaming laptops_dat'!G7</f>
        <v>24</v>
      </c>
      <c r="B7">
        <f>'Amazon.com _ gaming laptops_dat'!U7</f>
        <v>526629.73</v>
      </c>
      <c r="C7" s="4">
        <v>512</v>
      </c>
      <c r="D7" s="3">
        <v>3.9</v>
      </c>
      <c r="E7">
        <f>'Amazon.com _ gaming laptops_dat'!S7</f>
        <v>3.9</v>
      </c>
      <c r="F7">
        <f>'Amazon.com _ gaming laptops_dat'!U7</f>
        <v>526629.73</v>
      </c>
    </row>
    <row r="8" spans="1:6" x14ac:dyDescent="0.25">
      <c r="A8">
        <f>'Amazon.com _ gaming laptops_dat'!G8</f>
        <v>32</v>
      </c>
      <c r="B8">
        <f>'Amazon.com _ gaming laptops_dat'!U8</f>
        <v>706513.53</v>
      </c>
      <c r="C8" s="4">
        <v>1000</v>
      </c>
      <c r="D8" s="3">
        <v>4.3</v>
      </c>
      <c r="E8">
        <f>'Amazon.com _ gaming laptops_dat'!S8</f>
        <v>4.3</v>
      </c>
      <c r="F8">
        <f>'Amazon.com _ gaming laptops_dat'!U8</f>
        <v>706513.53</v>
      </c>
    </row>
    <row r="9" spans="1:6" x14ac:dyDescent="0.25">
      <c r="A9">
        <f>'Amazon.com _ gaming laptops_dat'!G9</f>
        <v>32</v>
      </c>
      <c r="B9">
        <f>'Amazon.com _ gaming laptops_dat'!U9</f>
        <v>970109.73</v>
      </c>
      <c r="C9" s="4">
        <v>1000</v>
      </c>
      <c r="D9" s="3">
        <v>5</v>
      </c>
      <c r="E9">
        <f>'Amazon.com _ gaming laptops_dat'!S9</f>
        <v>5</v>
      </c>
      <c r="F9">
        <f>'Amazon.com _ gaming laptops_dat'!U9</f>
        <v>970109.73</v>
      </c>
    </row>
    <row r="10" spans="1:6" x14ac:dyDescent="0.25">
      <c r="A10">
        <f>'Amazon.com _ gaming laptops_dat'!G10</f>
        <v>16</v>
      </c>
      <c r="B10">
        <f>'Amazon.com _ gaming laptops_dat'!U10</f>
        <v>360324.73</v>
      </c>
      <c r="C10" s="4">
        <v>512</v>
      </c>
      <c r="D10" s="3"/>
      <c r="E10">
        <f>'Amazon.com _ gaming laptops_dat'!S10</f>
        <v>0</v>
      </c>
      <c r="F10">
        <f>'Amazon.com _ gaming laptops_dat'!U10</f>
        <v>360324.73</v>
      </c>
    </row>
    <row r="11" spans="1:6" x14ac:dyDescent="0.25">
      <c r="A11">
        <f>'Amazon.com _ gaming laptops_dat'!G11</f>
        <v>16</v>
      </c>
      <c r="B11">
        <f>'Amazon.com _ gaming laptops_dat'!U11</f>
        <v>138584.73000000001</v>
      </c>
      <c r="C11" s="4">
        <v>512</v>
      </c>
      <c r="D11" s="3">
        <v>4.5</v>
      </c>
      <c r="E11">
        <f>'Amazon.com _ gaming laptops_dat'!S11</f>
        <v>4.5</v>
      </c>
      <c r="F11">
        <f>'Amazon.com _ gaming laptops_dat'!U11</f>
        <v>138584.73000000001</v>
      </c>
    </row>
    <row r="12" spans="1:6" x14ac:dyDescent="0.25">
      <c r="A12">
        <f>'Amazon.com _ gaming laptops_dat'!G12</f>
        <v>16</v>
      </c>
      <c r="B12">
        <f>'Amazon.com _ gaming laptops_dat'!U12</f>
        <v>260541.73</v>
      </c>
      <c r="C12" s="4">
        <v>512</v>
      </c>
      <c r="D12" s="3">
        <v>5</v>
      </c>
      <c r="E12">
        <f>'Amazon.com _ gaming laptops_dat'!S12</f>
        <v>5</v>
      </c>
      <c r="F12">
        <f>'Amazon.com _ gaming laptops_dat'!U12</f>
        <v>260541.73</v>
      </c>
    </row>
    <row r="13" spans="1:6" x14ac:dyDescent="0.25">
      <c r="A13">
        <f>'Amazon.com _ gaming laptops_dat'!G13</f>
        <v>8</v>
      </c>
      <c r="B13">
        <f>'Amazon.com _ gaming laptops_dat'!U13</f>
        <v>374183.48</v>
      </c>
      <c r="C13" s="4">
        <v>8</v>
      </c>
      <c r="D13" s="3">
        <v>3.7</v>
      </c>
      <c r="E13">
        <f>'Amazon.com _ gaming laptops_dat'!S13</f>
        <v>3.7</v>
      </c>
      <c r="F13">
        <f>'Amazon.com _ gaming laptops_dat'!U13</f>
        <v>374183.48</v>
      </c>
    </row>
    <row r="14" spans="1:6" x14ac:dyDescent="0.25">
      <c r="A14">
        <f>'Amazon.com _ gaming laptops_dat'!G14</f>
        <v>16</v>
      </c>
      <c r="B14">
        <f>'Amazon.com _ gaming laptops_dat'!U14</f>
        <v>163524.93</v>
      </c>
      <c r="C14" s="4">
        <v>512</v>
      </c>
      <c r="D14" s="3">
        <v>4.5999999999999996</v>
      </c>
      <c r="E14">
        <f>'Amazon.com _ gaming laptops_dat'!S14</f>
        <v>4.5999999999999996</v>
      </c>
      <c r="F14">
        <f>'Amazon.com _ gaming laptops_dat'!U14</f>
        <v>163524.93</v>
      </c>
    </row>
    <row r="15" spans="1:6" x14ac:dyDescent="0.25">
      <c r="A15">
        <f>'Amazon.com _ gaming laptops_dat'!G15</f>
        <v>32</v>
      </c>
      <c r="B15">
        <f>'Amazon.com _ gaming laptops_dat'!U15</f>
        <v>748369.73</v>
      </c>
      <c r="C15" s="4">
        <v>1000</v>
      </c>
      <c r="D15" s="3">
        <v>3.8</v>
      </c>
      <c r="E15">
        <f>'Amazon.com _ gaming laptops_dat'!S15</f>
        <v>3.8</v>
      </c>
      <c r="F15">
        <f>'Amazon.com _ gaming laptops_dat'!U15</f>
        <v>748369.73</v>
      </c>
    </row>
    <row r="16" spans="1:6" x14ac:dyDescent="0.25">
      <c r="A16">
        <f>'Amazon.com _ gaming laptops_dat'!G16</f>
        <v>0</v>
      </c>
      <c r="B16">
        <f>'Amazon.com _ gaming laptops_dat'!U16</f>
        <v>182655.55</v>
      </c>
      <c r="C16" s="4"/>
      <c r="D16" s="3">
        <v>4.8</v>
      </c>
      <c r="E16">
        <f>'Amazon.com _ gaming laptops_dat'!S16</f>
        <v>4.8</v>
      </c>
      <c r="F16">
        <f>'Amazon.com _ gaming laptops_dat'!U16</f>
        <v>182655.55</v>
      </c>
    </row>
    <row r="17" spans="1:6" x14ac:dyDescent="0.25">
      <c r="A17">
        <f>'Amazon.com _ gaming laptops_dat'!G17</f>
        <v>32</v>
      </c>
      <c r="B17">
        <f>'Amazon.com _ gaming laptops_dat'!U17</f>
        <v>493094.32</v>
      </c>
      <c r="C17" s="4">
        <v>32</v>
      </c>
      <c r="D17" s="3">
        <v>0</v>
      </c>
      <c r="E17">
        <f>'Amazon.com _ gaming laptops_dat'!S17</f>
        <v>0</v>
      </c>
      <c r="F17">
        <f>'Amazon.com _ gaming laptops_dat'!U17</f>
        <v>493094.32</v>
      </c>
    </row>
    <row r="18" spans="1:6" x14ac:dyDescent="0.25">
      <c r="A18">
        <f>'Amazon.com _ gaming laptops_dat'!G18</f>
        <v>24</v>
      </c>
      <c r="B18">
        <f>'Amazon.com _ gaming laptops_dat'!U18</f>
        <v>191247.98</v>
      </c>
      <c r="C18" s="4">
        <v>512</v>
      </c>
      <c r="D18" s="3">
        <v>4.4000000000000004</v>
      </c>
      <c r="E18">
        <f>'Amazon.com _ gaming laptops_dat'!S18</f>
        <v>4.4000000000000004</v>
      </c>
      <c r="F18">
        <f>'Amazon.com _ gaming laptops_dat'!U18</f>
        <v>191247.98</v>
      </c>
    </row>
    <row r="19" spans="1:6" x14ac:dyDescent="0.25">
      <c r="A19">
        <f>'Amazon.com _ gaming laptops_dat'!G19</f>
        <v>16</v>
      </c>
      <c r="B19">
        <f>'Amazon.com _ gaming laptops_dat'!U19</f>
        <v>110867.23</v>
      </c>
      <c r="C19" s="4">
        <v>512</v>
      </c>
      <c r="D19" s="3">
        <v>3.8</v>
      </c>
      <c r="E19">
        <f>'Amazon.com _ gaming laptops_dat'!S19</f>
        <v>3.8</v>
      </c>
      <c r="F19">
        <f>'Amazon.com _ gaming laptops_dat'!U19</f>
        <v>110867.23</v>
      </c>
    </row>
    <row r="20" spans="1:6" x14ac:dyDescent="0.25">
      <c r="A20">
        <f>'Amazon.com _ gaming laptops_dat'!G20</f>
        <v>16</v>
      </c>
      <c r="B20">
        <f>'Amazon.com _ gaming laptops_dat'!U20</f>
        <v>304615.32</v>
      </c>
      <c r="C20" s="4">
        <v>1000</v>
      </c>
      <c r="D20" s="3">
        <v>3.6</v>
      </c>
      <c r="E20">
        <f>'Amazon.com _ gaming laptops_dat'!S20</f>
        <v>3.6</v>
      </c>
      <c r="F20">
        <f>'Amazon.com _ gaming laptops_dat'!U20</f>
        <v>304615.32</v>
      </c>
    </row>
    <row r="21" spans="1:6" x14ac:dyDescent="0.25">
      <c r="A21">
        <f>'Amazon.com _ gaming laptops_dat'!G21</f>
        <v>16</v>
      </c>
      <c r="B21">
        <f>'Amazon.com _ gaming laptops_dat'!U21</f>
        <v>527821.57999999996</v>
      </c>
      <c r="C21" s="4">
        <v>1000</v>
      </c>
      <c r="D21" s="3">
        <v>4.3</v>
      </c>
      <c r="E21">
        <f>'Amazon.com _ gaming laptops_dat'!S21</f>
        <v>4.3</v>
      </c>
      <c r="F21">
        <f>'Amazon.com _ gaming laptops_dat'!U21</f>
        <v>527821.57999999996</v>
      </c>
    </row>
    <row r="22" spans="1:6" x14ac:dyDescent="0.25">
      <c r="A22">
        <f>'Amazon.com _ gaming laptops_dat'!G22</f>
        <v>32</v>
      </c>
      <c r="B22">
        <f>'Amazon.com _ gaming laptops_dat'!U22</f>
        <v>629251</v>
      </c>
      <c r="C22" s="4">
        <v>1000</v>
      </c>
      <c r="D22" s="3">
        <v>4</v>
      </c>
      <c r="E22">
        <f>'Amazon.com _ gaming laptops_dat'!S22</f>
        <v>4</v>
      </c>
      <c r="F22">
        <f>'Amazon.com _ gaming laptops_dat'!U22</f>
        <v>629251</v>
      </c>
    </row>
    <row r="23" spans="1:6" x14ac:dyDescent="0.25">
      <c r="A23">
        <f>'Amazon.com _ gaming laptops_dat'!G23</f>
        <v>16</v>
      </c>
      <c r="B23">
        <f>'Amazon.com _ gaming laptops_dat'!U23</f>
        <v>422689.1</v>
      </c>
      <c r="C23" s="4">
        <v>16</v>
      </c>
      <c r="D23" s="3">
        <v>4.3</v>
      </c>
      <c r="E23">
        <f>'Amazon.com _ gaming laptops_dat'!S23</f>
        <v>4.3</v>
      </c>
      <c r="F23">
        <f>'Amazon.com _ gaming laptops_dat'!U23</f>
        <v>422689.1</v>
      </c>
    </row>
    <row r="24" spans="1:6" x14ac:dyDescent="0.25">
      <c r="A24">
        <f>'Amazon.com _ gaming laptops_dat'!G24</f>
        <v>16</v>
      </c>
      <c r="B24">
        <f>'Amazon.com _ gaming laptops_dat'!U24</f>
        <v>527821.57999999996</v>
      </c>
      <c r="C24" s="4">
        <v>16</v>
      </c>
      <c r="D24" s="3">
        <v>4.3</v>
      </c>
      <c r="E24">
        <f>'Amazon.com _ gaming laptops_dat'!S24</f>
        <v>4.3</v>
      </c>
      <c r="F24">
        <f>'Amazon.com _ gaming laptops_dat'!U24</f>
        <v>527821.57999999996</v>
      </c>
    </row>
    <row r="25" spans="1:6" x14ac:dyDescent="0.25">
      <c r="A25">
        <f>'Amazon.com _ gaming laptops_dat'!G25</f>
        <v>0</v>
      </c>
      <c r="B25">
        <f>'Amazon.com _ gaming laptops_dat'!U25</f>
        <v>527821.57999999996</v>
      </c>
      <c r="C25" s="4"/>
      <c r="D25" s="3">
        <v>4.3</v>
      </c>
      <c r="E25">
        <f>'Amazon.com _ gaming laptops_dat'!S25</f>
        <v>4.3</v>
      </c>
      <c r="F25">
        <f>'Amazon.com _ gaming laptops_dat'!U25</f>
        <v>527821.57999999996</v>
      </c>
    </row>
    <row r="26" spans="1:6" x14ac:dyDescent="0.25">
      <c r="A26">
        <f>'Amazon.com _ gaming laptops_dat'!G26</f>
        <v>16</v>
      </c>
      <c r="B26">
        <f>'Amazon.com _ gaming laptops_dat'!U26</f>
        <v>442368.53</v>
      </c>
      <c r="C26" s="4">
        <v>1000</v>
      </c>
      <c r="D26" s="3">
        <v>3.9</v>
      </c>
      <c r="E26">
        <f>'Amazon.com _ gaming laptops_dat'!S26</f>
        <v>3.9</v>
      </c>
      <c r="F26">
        <f>'Amazon.com _ gaming laptops_dat'!U26</f>
        <v>442368.53</v>
      </c>
    </row>
    <row r="27" spans="1:6" x14ac:dyDescent="0.25">
      <c r="A27">
        <f>'Amazon.com _ gaming laptops_dat'!G27</f>
        <v>32</v>
      </c>
      <c r="B27">
        <f>'Amazon.com _ gaming laptops_dat'!U27</f>
        <v>1247284.73</v>
      </c>
      <c r="C27" s="4">
        <v>2000</v>
      </c>
      <c r="D27" s="3">
        <v>3.8</v>
      </c>
      <c r="E27">
        <f>'Amazon.com _ gaming laptops_dat'!S27</f>
        <v>3.8</v>
      </c>
      <c r="F27">
        <f>'Amazon.com _ gaming laptops_dat'!U27</f>
        <v>1247284.73</v>
      </c>
    </row>
    <row r="28" spans="1:6" x14ac:dyDescent="0.25">
      <c r="A28">
        <f>'Amazon.com _ gaming laptops_dat'!G28</f>
        <v>16</v>
      </c>
      <c r="B28">
        <f>'Amazon.com _ gaming laptops_dat'!U28</f>
        <v>374183.48</v>
      </c>
      <c r="C28" s="4">
        <v>1000</v>
      </c>
      <c r="D28" s="3">
        <v>4.5999999999999996</v>
      </c>
      <c r="E28">
        <f>'Amazon.com _ gaming laptops_dat'!S28</f>
        <v>4.5999999999999996</v>
      </c>
      <c r="F28">
        <f>'Amazon.com _ gaming laptops_dat'!U28</f>
        <v>374183.48</v>
      </c>
    </row>
    <row r="29" spans="1:6" x14ac:dyDescent="0.25">
      <c r="A29">
        <f>'Amazon.com _ gaming laptops_dat'!G29</f>
        <v>8</v>
      </c>
      <c r="B29">
        <f>'Amazon.com _ gaming laptops_dat'!U29</f>
        <v>66519.23</v>
      </c>
      <c r="C29" s="4">
        <v>256</v>
      </c>
      <c r="D29" s="3">
        <v>3.9</v>
      </c>
      <c r="E29">
        <f>'Amazon.com _ gaming laptops_dat'!S29</f>
        <v>3.9</v>
      </c>
      <c r="F29">
        <f>'Amazon.com _ gaming laptops_dat'!U29</f>
        <v>66519.23</v>
      </c>
    </row>
    <row r="30" spans="1:6" x14ac:dyDescent="0.25">
      <c r="A30">
        <f>'Amazon.com _ gaming laptops_dat'!G30</f>
        <v>16</v>
      </c>
      <c r="B30">
        <f>'Amazon.com _ gaming laptops_dat'!U30</f>
        <v>85921.48</v>
      </c>
      <c r="C30" s="4">
        <v>512</v>
      </c>
      <c r="D30" s="3">
        <v>3.8</v>
      </c>
      <c r="E30">
        <f>'Amazon.com _ gaming laptops_dat'!S30</f>
        <v>3.8</v>
      </c>
      <c r="F30">
        <f>'Amazon.com _ gaming laptops_dat'!U30</f>
        <v>85921.48</v>
      </c>
    </row>
    <row r="31" spans="1:6" x14ac:dyDescent="0.25">
      <c r="A31">
        <f>'Amazon.com _ gaming laptops_dat'!G31</f>
        <v>32</v>
      </c>
      <c r="B31">
        <f>'Amazon.com _ gaming laptops_dat'!U31</f>
        <v>516097.08</v>
      </c>
      <c r="C31" s="4">
        <v>1000</v>
      </c>
      <c r="D31" s="3">
        <v>4.2</v>
      </c>
      <c r="E31">
        <f>'Amazon.com _ gaming laptops_dat'!S31</f>
        <v>4.2</v>
      </c>
      <c r="F31">
        <f>'Amazon.com _ gaming laptops_dat'!U31</f>
        <v>516097.08</v>
      </c>
    </row>
    <row r="32" spans="1:6" x14ac:dyDescent="0.25">
      <c r="A32">
        <f>'Amazon.com _ gaming laptops_dat'!G32</f>
        <v>64</v>
      </c>
      <c r="B32">
        <f>'Amazon.com _ gaming laptops_dat'!U32</f>
        <v>1662772.82</v>
      </c>
      <c r="C32" s="4">
        <v>2000</v>
      </c>
      <c r="D32" s="3">
        <v>4.5999999999999996</v>
      </c>
      <c r="E32">
        <f>'Amazon.com _ gaming laptops_dat'!S32</f>
        <v>4.5999999999999996</v>
      </c>
      <c r="F32">
        <f>'Amazon.com _ gaming laptops_dat'!U32</f>
        <v>1662772.82</v>
      </c>
    </row>
    <row r="33" spans="1:6" x14ac:dyDescent="0.25">
      <c r="A33">
        <f>'Amazon.com _ gaming laptops_dat'!G33</f>
        <v>32</v>
      </c>
      <c r="B33">
        <f>'Amazon.com _ gaming laptops_dat'!U33</f>
        <v>552964.12</v>
      </c>
      <c r="C33" s="4">
        <v>1000</v>
      </c>
      <c r="D33" s="3">
        <v>4</v>
      </c>
      <c r="E33">
        <f>'Amazon.com _ gaming laptops_dat'!S33</f>
        <v>4</v>
      </c>
      <c r="F33">
        <f>'Amazon.com _ gaming laptops_dat'!U33</f>
        <v>552964.12</v>
      </c>
    </row>
    <row r="34" spans="1:6" x14ac:dyDescent="0.25">
      <c r="A34">
        <f>'Amazon.com _ gaming laptops_dat'!G34</f>
        <v>16</v>
      </c>
      <c r="B34">
        <f>'Amazon.com _ gaming laptops_dat'!U34</f>
        <v>498773.64</v>
      </c>
      <c r="C34" s="4">
        <v>1000</v>
      </c>
      <c r="D34" s="3">
        <v>5</v>
      </c>
      <c r="E34">
        <f>'Amazon.com _ gaming laptops_dat'!S34</f>
        <v>5</v>
      </c>
      <c r="F34">
        <f>'Amazon.com _ gaming laptops_dat'!U34</f>
        <v>498773.64</v>
      </c>
    </row>
    <row r="35" spans="1:6" x14ac:dyDescent="0.25">
      <c r="A35">
        <f>'Amazon.com _ gaming laptops_dat'!G35</f>
        <v>32</v>
      </c>
      <c r="B35">
        <f>'Amazon.com _ gaming laptops_dat'!U35</f>
        <v>613088.93000000005</v>
      </c>
      <c r="C35" s="4">
        <v>1000</v>
      </c>
      <c r="D35" s="3">
        <v>5</v>
      </c>
      <c r="E35">
        <f>'Amazon.com _ gaming laptops_dat'!S35</f>
        <v>5</v>
      </c>
      <c r="F35">
        <f>'Amazon.com _ gaming laptops_dat'!U35</f>
        <v>613088.93000000005</v>
      </c>
    </row>
    <row r="36" spans="1:6" x14ac:dyDescent="0.25">
      <c r="A36">
        <f>'Amazon.com _ gaming laptops_dat'!G36</f>
        <v>16</v>
      </c>
      <c r="B36">
        <f>'Amazon.com _ gaming laptops_dat'!U36</f>
        <v>243911.23</v>
      </c>
      <c r="C36" s="4">
        <v>512</v>
      </c>
      <c r="D36" s="3">
        <v>4.3</v>
      </c>
      <c r="E36">
        <f>'Amazon.com _ gaming laptops_dat'!S36</f>
        <v>4.3</v>
      </c>
      <c r="F36">
        <f>'Amazon.com _ gaming laptops_dat'!U36</f>
        <v>243911.23</v>
      </c>
    </row>
    <row r="37" spans="1:6" x14ac:dyDescent="0.25">
      <c r="A37">
        <f>'Amazon.com _ gaming laptops_dat'!G37</f>
        <v>32</v>
      </c>
      <c r="B37">
        <f>'Amazon.com _ gaming laptops_dat'!U37</f>
        <v>1080979.73</v>
      </c>
      <c r="C37" s="4">
        <v>1000</v>
      </c>
      <c r="D37" s="3">
        <v>5</v>
      </c>
      <c r="E37">
        <f>'Amazon.com _ gaming laptops_dat'!S37</f>
        <v>5</v>
      </c>
      <c r="F37">
        <f>'Amazon.com _ gaming laptops_dat'!U37</f>
        <v>1080979.73</v>
      </c>
    </row>
    <row r="38" spans="1:6" x14ac:dyDescent="0.25">
      <c r="A38">
        <f>'Amazon.com _ gaming laptops_dat'!G38</f>
        <v>16</v>
      </c>
      <c r="B38">
        <f>'Amazon.com _ gaming laptops_dat'!U38</f>
        <v>138584.73000000001</v>
      </c>
      <c r="C38" s="4">
        <v>512</v>
      </c>
      <c r="D38" s="3">
        <v>3.8</v>
      </c>
      <c r="E38">
        <f>'Amazon.com _ gaming laptops_dat'!S38</f>
        <v>3.8</v>
      </c>
      <c r="F38">
        <f>'Amazon.com _ gaming laptops_dat'!U38</f>
        <v>138584.73000000001</v>
      </c>
    </row>
    <row r="39" spans="1:6" x14ac:dyDescent="0.25">
      <c r="A39">
        <f>'Amazon.com _ gaming laptops_dat'!G39</f>
        <v>0</v>
      </c>
      <c r="B39">
        <f>'Amazon.com _ gaming laptops_dat'!U39</f>
        <v>410219</v>
      </c>
      <c r="C39" s="4"/>
      <c r="D39" s="3">
        <v>4</v>
      </c>
      <c r="E39">
        <f>'Amazon.com _ gaming laptops_dat'!S39</f>
        <v>4</v>
      </c>
      <c r="F39">
        <f>'Amazon.com _ gaming laptops_dat'!U39</f>
        <v>410219</v>
      </c>
    </row>
    <row r="40" spans="1:6" x14ac:dyDescent="0.25">
      <c r="A40">
        <f>'Amazon.com _ gaming laptops_dat'!G40</f>
        <v>16</v>
      </c>
      <c r="B40">
        <f>'Amazon.com _ gaming laptops_dat'!U40</f>
        <v>335104.58</v>
      </c>
      <c r="C40" s="4">
        <v>16</v>
      </c>
      <c r="D40" s="3">
        <v>0</v>
      </c>
      <c r="E40">
        <f>'Amazon.com _ gaming laptops_dat'!S40</f>
        <v>0</v>
      </c>
      <c r="F40">
        <f>'Amazon.com _ gaming laptops_dat'!U40</f>
        <v>335104.58</v>
      </c>
    </row>
    <row r="41" spans="1:6" x14ac:dyDescent="0.25">
      <c r="A41">
        <f>'Amazon.com _ gaming laptops_dat'!G41</f>
        <v>16</v>
      </c>
      <c r="B41">
        <f>'Amazon.com _ gaming laptops_dat'!U41</f>
        <v>277172.23</v>
      </c>
      <c r="C41" s="4">
        <v>1000</v>
      </c>
      <c r="D41" s="3">
        <v>4.2</v>
      </c>
      <c r="E41">
        <f>'Amazon.com _ gaming laptops_dat'!S41</f>
        <v>4.2</v>
      </c>
      <c r="F41">
        <f>'Amazon.com _ gaming laptops_dat'!U41</f>
        <v>277172.23</v>
      </c>
    </row>
    <row r="42" spans="1:6" x14ac:dyDescent="0.25">
      <c r="A42">
        <f>'Amazon.com _ gaming laptops_dat'!G42</f>
        <v>8</v>
      </c>
      <c r="B42">
        <f>'Amazon.com _ gaming laptops_dat'!U42</f>
        <v>374183.48</v>
      </c>
      <c r="C42" s="4">
        <v>8</v>
      </c>
      <c r="D42" s="3">
        <v>3.7</v>
      </c>
      <c r="E42">
        <f>'Amazon.com _ gaming laptops_dat'!S42</f>
        <v>3.7</v>
      </c>
      <c r="F42">
        <f>'Amazon.com _ gaming laptops_dat'!U42</f>
        <v>374183.48</v>
      </c>
    </row>
    <row r="43" spans="1:6" x14ac:dyDescent="0.25">
      <c r="A43">
        <f>'Amazon.com _ gaming laptops_dat'!G43</f>
        <v>16</v>
      </c>
      <c r="B43">
        <f>'Amazon.com _ gaming laptops_dat'!U43</f>
        <v>182921.64</v>
      </c>
      <c r="C43" s="4">
        <v>16</v>
      </c>
      <c r="D43" s="3">
        <v>5</v>
      </c>
      <c r="E43">
        <f>'Amazon.com _ gaming laptops_dat'!S43</f>
        <v>5</v>
      </c>
      <c r="F43">
        <f>'Amazon.com _ gaming laptops_dat'!U43</f>
        <v>182921.64</v>
      </c>
    </row>
    <row r="44" spans="1:6" x14ac:dyDescent="0.25">
      <c r="A44">
        <f>'Amazon.com _ gaming laptops_dat'!G44</f>
        <v>24</v>
      </c>
      <c r="B44">
        <f>'Amazon.com _ gaming laptops_dat'!U44</f>
        <v>191247.98</v>
      </c>
      <c r="C44" s="4">
        <v>1000</v>
      </c>
      <c r="D44" s="3">
        <v>4</v>
      </c>
      <c r="E44">
        <f>'Amazon.com _ gaming laptops_dat'!S44</f>
        <v>4</v>
      </c>
      <c r="F44">
        <f>'Amazon.com _ gaming laptops_dat'!U44</f>
        <v>191247.98</v>
      </c>
    </row>
    <row r="45" spans="1:6" x14ac:dyDescent="0.25">
      <c r="A45">
        <f>'Amazon.com _ gaming laptops_dat'!G45</f>
        <v>16</v>
      </c>
      <c r="B45">
        <f>'Amazon.com _ gaming laptops_dat'!U45</f>
        <v>376680.82</v>
      </c>
      <c r="C45" s="4">
        <v>16</v>
      </c>
      <c r="D45" s="3">
        <v>5</v>
      </c>
      <c r="E45">
        <f>'Amazon.com _ gaming laptops_dat'!S45</f>
        <v>5</v>
      </c>
      <c r="F45">
        <f>'Amazon.com _ gaming laptops_dat'!U45</f>
        <v>376680.82</v>
      </c>
    </row>
    <row r="46" spans="1:6" x14ac:dyDescent="0.25">
      <c r="A46">
        <f>'Amazon.com _ gaming laptops_dat'!G46</f>
        <v>24</v>
      </c>
      <c r="B46">
        <f>'Amazon.com _ gaming laptops_dat'!U46</f>
        <v>188476.23</v>
      </c>
      <c r="C46" s="4">
        <v>24</v>
      </c>
      <c r="D46" s="3">
        <v>4.4000000000000004</v>
      </c>
      <c r="E46">
        <f>'Amazon.com _ gaming laptops_dat'!S46</f>
        <v>4.4000000000000004</v>
      </c>
      <c r="F46">
        <f>'Amazon.com _ gaming laptops_dat'!U46</f>
        <v>188476.23</v>
      </c>
    </row>
    <row r="47" spans="1:6" x14ac:dyDescent="0.25">
      <c r="A47">
        <f>'Amazon.com _ gaming laptops_dat'!G47</f>
        <v>24</v>
      </c>
      <c r="B47">
        <f>'Amazon.com _ gaming laptops_dat'!U47</f>
        <v>191247.98</v>
      </c>
      <c r="C47" s="4">
        <v>1000</v>
      </c>
      <c r="D47" s="3">
        <v>4</v>
      </c>
      <c r="E47">
        <f>'Amazon.com _ gaming laptops_dat'!S47</f>
        <v>4</v>
      </c>
      <c r="F47">
        <f>'Amazon.com _ gaming laptops_dat'!U47</f>
        <v>191247.98</v>
      </c>
    </row>
    <row r="48" spans="1:6" x14ac:dyDescent="0.25">
      <c r="A48">
        <f>'Amazon.com _ gaming laptops_dat'!G48</f>
        <v>16</v>
      </c>
      <c r="B48">
        <f>'Amazon.com _ gaming laptops_dat'!U48</f>
        <v>457053.26</v>
      </c>
      <c r="C48" s="4">
        <v>1000</v>
      </c>
      <c r="D48" s="3">
        <v>4.4000000000000004</v>
      </c>
      <c r="E48">
        <f>'Amazon.com _ gaming laptops_dat'!S48</f>
        <v>4.4000000000000004</v>
      </c>
      <c r="F48">
        <f>'Amazon.com _ gaming laptops_dat'!U48</f>
        <v>457053.26</v>
      </c>
    </row>
    <row r="49" spans="1:6" x14ac:dyDescent="0.25">
      <c r="A49">
        <f>'Amazon.com _ gaming laptops_dat'!G49</f>
        <v>24</v>
      </c>
      <c r="B49">
        <f>'Amazon.com _ gaming laptops_dat'!U49</f>
        <v>202334.98</v>
      </c>
      <c r="C49" s="4">
        <v>1000</v>
      </c>
      <c r="D49" s="3">
        <v>4.0999999999999996</v>
      </c>
      <c r="E49">
        <f>'Amazon.com _ gaming laptops_dat'!S49</f>
        <v>4.0999999999999996</v>
      </c>
      <c r="F49">
        <f>'Amazon.com _ gaming laptops_dat'!U49</f>
        <v>202334.98</v>
      </c>
    </row>
    <row r="50" spans="1:6" x14ac:dyDescent="0.25">
      <c r="A50">
        <f>'Amazon.com _ gaming laptops_dat'!G50</f>
        <v>16</v>
      </c>
      <c r="B50">
        <f>'Amazon.com _ gaming laptops_dat'!U50</f>
        <v>388042.23</v>
      </c>
      <c r="C50" s="4">
        <v>1000</v>
      </c>
      <c r="D50" s="3">
        <v>0</v>
      </c>
      <c r="E50">
        <f>'Amazon.com _ gaming laptops_dat'!S50</f>
        <v>0</v>
      </c>
      <c r="F50">
        <f>'Amazon.com _ gaming laptops_dat'!U50</f>
        <v>388042.23</v>
      </c>
    </row>
    <row r="51" spans="1:6" x14ac:dyDescent="0.25">
      <c r="A51">
        <f>'Amazon.com _ gaming laptops_dat'!G51</f>
        <v>32</v>
      </c>
      <c r="B51">
        <f>'Amazon.com _ gaming laptops_dat'!U51</f>
        <v>942392.23</v>
      </c>
      <c r="C51" s="4">
        <v>2000</v>
      </c>
      <c r="D51" s="3">
        <v>3.9</v>
      </c>
      <c r="E51">
        <f>'Amazon.com _ gaming laptops_dat'!S51</f>
        <v>3.9</v>
      </c>
      <c r="F51">
        <f>'Amazon.com _ gaming laptops_dat'!U51</f>
        <v>942392.23</v>
      </c>
    </row>
    <row r="52" spans="1:6" x14ac:dyDescent="0.25">
      <c r="A52">
        <f>'Amazon.com _ gaming laptops_dat'!G52</f>
        <v>12</v>
      </c>
      <c r="B52">
        <f>'Amazon.com _ gaming laptops_dat'!U52</f>
        <v>91462.21</v>
      </c>
      <c r="C52" s="4">
        <v>256</v>
      </c>
      <c r="D52" s="3">
        <v>4.4000000000000004</v>
      </c>
      <c r="E52">
        <f>'Amazon.com _ gaming laptops_dat'!S52</f>
        <v>4.4000000000000004</v>
      </c>
      <c r="F52">
        <f>'Amazon.com _ gaming laptops_dat'!U52</f>
        <v>91462.21</v>
      </c>
    </row>
    <row r="53" spans="1:6" x14ac:dyDescent="0.25">
      <c r="A53">
        <f>'Amazon.com _ gaming laptops_dat'!G53</f>
        <v>8</v>
      </c>
      <c r="B53">
        <f>'Amazon.com _ gaming laptops_dat'!U53</f>
        <v>263313.48</v>
      </c>
      <c r="C53" s="4">
        <v>512</v>
      </c>
      <c r="D53" s="3">
        <v>4.5</v>
      </c>
      <c r="E53">
        <f>'Amazon.com _ gaming laptops_dat'!S53</f>
        <v>4.5</v>
      </c>
      <c r="F53">
        <f>'Amazon.com _ gaming laptops_dat'!U53</f>
        <v>263313.48</v>
      </c>
    </row>
    <row r="54" spans="1:6" x14ac:dyDescent="0.25">
      <c r="A54">
        <f>'Amazon.com _ gaming laptops_dat'!G54</f>
        <v>32</v>
      </c>
      <c r="B54">
        <f>'Amazon.com _ gaming laptops_dat'!U54</f>
        <v>859239.73</v>
      </c>
      <c r="C54" s="4">
        <v>1000</v>
      </c>
      <c r="D54" s="3">
        <v>4.0999999999999996</v>
      </c>
      <c r="E54">
        <f>'Amazon.com _ gaming laptops_dat'!S54</f>
        <v>4.0999999999999996</v>
      </c>
      <c r="F54">
        <f>'Amazon.com _ gaming laptops_dat'!U54</f>
        <v>859239.73</v>
      </c>
    </row>
    <row r="55" spans="1:6" x14ac:dyDescent="0.25">
      <c r="A55">
        <f>'Amazon.com _ gaming laptops_dat'!G55</f>
        <v>16</v>
      </c>
      <c r="B55">
        <f>'Amazon.com _ gaming laptops_dat'!U55</f>
        <v>97008.48</v>
      </c>
      <c r="C55" s="4">
        <v>16</v>
      </c>
      <c r="D55" s="3">
        <v>3.2</v>
      </c>
      <c r="E55">
        <f>'Amazon.com _ gaming laptops_dat'!S55</f>
        <v>3.2</v>
      </c>
      <c r="F55">
        <f>'Amazon.com _ gaming laptops_dat'!U55</f>
        <v>97008.48</v>
      </c>
    </row>
    <row r="56" spans="1:6" x14ac:dyDescent="0.25">
      <c r="A56">
        <f>'Amazon.com _ gaming laptops_dat'!G56</f>
        <v>0</v>
      </c>
      <c r="B56">
        <f>'Amazon.com _ gaming laptops_dat'!U56</f>
        <v>1856795.32</v>
      </c>
      <c r="C56" s="4"/>
      <c r="D56" s="3">
        <v>3</v>
      </c>
      <c r="E56">
        <f>'Amazon.com _ gaming laptops_dat'!S56</f>
        <v>3</v>
      </c>
      <c r="F56">
        <f>'Amazon.com _ gaming laptops_dat'!U56</f>
        <v>1856795.32</v>
      </c>
    </row>
    <row r="57" spans="1:6" x14ac:dyDescent="0.25">
      <c r="A57">
        <f>'Amazon.com _ gaming laptops_dat'!G57</f>
        <v>16</v>
      </c>
      <c r="B57">
        <f>'Amazon.com _ gaming laptops_dat'!U57</f>
        <v>362614.19</v>
      </c>
      <c r="C57" s="4">
        <v>512</v>
      </c>
      <c r="D57" s="3">
        <v>5</v>
      </c>
      <c r="E57">
        <f>'Amazon.com _ gaming laptops_dat'!S57</f>
        <v>5</v>
      </c>
      <c r="F57">
        <f>'Amazon.com _ gaming laptops_dat'!U57</f>
        <v>362614.19</v>
      </c>
    </row>
    <row r="58" spans="1:6" x14ac:dyDescent="0.25">
      <c r="A58">
        <f>'Amazon.com _ gaming laptops_dat'!G58</f>
        <v>16</v>
      </c>
      <c r="B58">
        <f>'Amazon.com _ gaming laptops_dat'!U58</f>
        <v>8004.81</v>
      </c>
      <c r="C58" s="4">
        <v>16</v>
      </c>
      <c r="D58" s="3">
        <v>4.9000000000000004</v>
      </c>
      <c r="E58">
        <f>'Amazon.com _ gaming laptops_dat'!S58</f>
        <v>4.9000000000000004</v>
      </c>
      <c r="F58">
        <f>'Amazon.com _ gaming laptops_dat'!U58</f>
        <v>8004.81</v>
      </c>
    </row>
    <row r="59" spans="1:6" x14ac:dyDescent="0.25">
      <c r="A59">
        <f>'Amazon.com _ gaming laptops_dat'!G59</f>
        <v>0</v>
      </c>
      <c r="B59">
        <f>'Amazon.com _ gaming laptops_dat'!U59</f>
        <v>72059.960000000006</v>
      </c>
      <c r="C59" s="4"/>
      <c r="D59" s="3">
        <v>4.5999999999999996</v>
      </c>
      <c r="E59">
        <f>'Amazon.com _ gaming laptops_dat'!S59</f>
        <v>4.5999999999999996</v>
      </c>
      <c r="F59">
        <f>'Amazon.com _ gaming laptops_dat'!U59</f>
        <v>72059.960000000006</v>
      </c>
    </row>
    <row r="60" spans="1:6" x14ac:dyDescent="0.25">
      <c r="E60">
        <f>'Amazon.com _ gaming laptops_dat'!S60</f>
        <v>0</v>
      </c>
      <c r="F60">
        <f>'Amazon.com _ gaming laptops_dat'!U60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1F6C-7E03-4AFD-ADDA-47AFEB24B2C2}">
  <dimension ref="A1:V72"/>
  <sheetViews>
    <sheetView showGridLines="0" topLeftCell="A16" zoomScale="55" zoomScaleNormal="34" workbookViewId="0">
      <selection activeCell="E59" sqref="E59"/>
    </sheetView>
  </sheetViews>
  <sheetFormatPr defaultRowHeight="13.8" x14ac:dyDescent="0.25"/>
  <cols>
    <col min="1" max="1" width="38.33203125" customWidth="1"/>
    <col min="2" max="2" width="42.44140625" bestFit="1" customWidth="1"/>
    <col min="3" max="3" width="32.6640625" bestFit="1" customWidth="1"/>
    <col min="5" max="5" width="38.33203125" customWidth="1"/>
    <col min="6" max="6" width="25" customWidth="1"/>
    <col min="7" max="7" width="25.88671875" customWidth="1"/>
    <col min="8" max="8" width="18.109375" customWidth="1"/>
    <col min="9" max="9" width="21.109375" customWidth="1"/>
    <col min="11" max="11" width="18.88671875" bestFit="1" customWidth="1"/>
    <col min="12" max="12" width="17.77734375" bestFit="1" customWidth="1"/>
    <col min="13" max="13" width="30.88671875" customWidth="1"/>
    <col min="14" max="14" width="31.109375" bestFit="1" customWidth="1"/>
    <col min="15" max="15" width="17.77734375" bestFit="1" customWidth="1"/>
    <col min="16" max="16" width="26" bestFit="1" customWidth="1"/>
    <col min="22" max="22" width="84.44140625" bestFit="1" customWidth="1"/>
  </cols>
  <sheetData>
    <row r="1" spans="1:19" ht="33.6" x14ac:dyDescent="0.65">
      <c r="A1" s="38" t="s">
        <v>424</v>
      </c>
      <c r="B1" s="38"/>
      <c r="C1" s="38"/>
      <c r="E1" s="36" t="s">
        <v>425</v>
      </c>
      <c r="F1" s="36"/>
      <c r="G1" s="36"/>
      <c r="H1" s="36"/>
      <c r="K1" s="43" t="s">
        <v>476</v>
      </c>
      <c r="L1" s="44"/>
      <c r="M1" s="44"/>
      <c r="N1" s="44"/>
    </row>
    <row r="2" spans="1:19" ht="14.4" x14ac:dyDescent="0.3">
      <c r="A2" t="s">
        <v>376</v>
      </c>
      <c r="B2" t="s">
        <v>377</v>
      </c>
      <c r="C2" t="s">
        <v>378</v>
      </c>
      <c r="E2" s="11" t="s">
        <v>408</v>
      </c>
      <c r="F2" s="11" t="s">
        <v>409</v>
      </c>
      <c r="G2" s="11" t="s">
        <v>410</v>
      </c>
      <c r="H2" s="11" t="s">
        <v>411</v>
      </c>
      <c r="K2" s="12" t="s">
        <v>453</v>
      </c>
      <c r="L2" s="12" t="s">
        <v>456</v>
      </c>
      <c r="M2" s="12" t="s">
        <v>457</v>
      </c>
      <c r="N2" s="12" t="s">
        <v>458</v>
      </c>
      <c r="O2" s="12" t="s">
        <v>459</v>
      </c>
      <c r="P2" s="12" t="s">
        <v>460</v>
      </c>
    </row>
    <row r="3" spans="1:19" x14ac:dyDescent="0.25">
      <c r="A3" t="s">
        <v>379</v>
      </c>
      <c r="B3" t="s">
        <v>391</v>
      </c>
      <c r="C3" t="s">
        <v>393</v>
      </c>
      <c r="E3" t="s">
        <v>412</v>
      </c>
      <c r="F3">
        <v>59</v>
      </c>
      <c r="G3">
        <v>0</v>
      </c>
      <c r="H3">
        <v>59</v>
      </c>
      <c r="K3" t="s">
        <v>385</v>
      </c>
      <c r="L3">
        <f>AVERAGE('Amazon.com _ gaming laptops_dat'!U2:U59)</f>
        <v>434209.50000000017</v>
      </c>
      <c r="M3">
        <f>MEDIAN('Amazon.com _ gaming laptops_dat'!U2:U59)</f>
        <v>374183.48</v>
      </c>
      <c r="N3">
        <f>MIN('Amazon.com _ gaming laptops_dat'!U2:U59)</f>
        <v>8004.81</v>
      </c>
      <c r="O3">
        <f>MAX('Amazon.com _ gaming laptops_dat'!U2:U59)</f>
        <v>1856795.32</v>
      </c>
      <c r="P3">
        <f>_xlfn.STDEV.S('Amazon.com _ gaming laptops_dat'!U2:U59)</f>
        <v>364982.09623133863</v>
      </c>
    </row>
    <row r="4" spans="1:19" x14ac:dyDescent="0.25">
      <c r="A4" t="s">
        <v>394</v>
      </c>
      <c r="B4" t="s">
        <v>391</v>
      </c>
      <c r="C4" t="s">
        <v>394</v>
      </c>
      <c r="E4" t="s">
        <v>413</v>
      </c>
      <c r="F4">
        <v>58</v>
      </c>
      <c r="G4">
        <v>0</v>
      </c>
      <c r="H4">
        <v>58</v>
      </c>
      <c r="K4" t="s">
        <v>384</v>
      </c>
      <c r="L4">
        <f>AVERAGE('Amazon.com _ gaming laptops_dat'!V2:V59)</f>
        <v>457438.53362068988</v>
      </c>
      <c r="M4">
        <f>MEDIAN('Amazon.com _ gaming laptops_dat'!V2:V59)</f>
        <v>375432.15</v>
      </c>
      <c r="N4">
        <f>MIN('Amazon.com _ gaming laptops_dat'!V2:V59)</f>
        <v>8004.81</v>
      </c>
      <c r="O4">
        <f>MAX('Amazon.com _ gaming laptops_dat'!V2:V59)</f>
        <v>1856795.32</v>
      </c>
      <c r="P4">
        <f>_xlfn.STDEV.S('Amazon.com _ gaming laptops_dat'!V2:V59)</f>
        <v>352914.6770522545</v>
      </c>
    </row>
    <row r="5" spans="1:19" x14ac:dyDescent="0.25">
      <c r="A5" t="s">
        <v>373</v>
      </c>
      <c r="B5" t="s">
        <v>391</v>
      </c>
      <c r="C5" t="s">
        <v>395</v>
      </c>
      <c r="E5" t="s">
        <v>414</v>
      </c>
      <c r="F5">
        <v>25</v>
      </c>
      <c r="G5">
        <v>3</v>
      </c>
      <c r="H5">
        <v>28</v>
      </c>
      <c r="K5" t="s">
        <v>454</v>
      </c>
      <c r="L5">
        <f>AVERAGE('Amazon.com _ gaming laptops_dat'!W2:W59)</f>
        <v>6.5669498257513732</v>
      </c>
      <c r="M5">
        <f>MEDIAN('Amazon.com _ gaming laptops_dat'!W2:W59)</f>
        <v>0</v>
      </c>
      <c r="N5">
        <f>MIN('Amazon.com _ gaming laptops_dat'!W2:W59)</f>
        <v>-138.03922327342141</v>
      </c>
      <c r="O5">
        <f>MAX('Amazon.com _ gaming laptops_dat'!W2:W59)</f>
        <v>67.059217746344487</v>
      </c>
      <c r="P5">
        <f>_xlfn.STDEV.S('Amazon.com _ gaming laptops_dat'!W2:W59)</f>
        <v>26.030539940796025</v>
      </c>
    </row>
    <row r="6" spans="1:19" x14ac:dyDescent="0.25">
      <c r="A6" t="s">
        <v>380</v>
      </c>
      <c r="B6" t="s">
        <v>392</v>
      </c>
      <c r="C6" t="s">
        <v>396</v>
      </c>
      <c r="K6" t="s">
        <v>122</v>
      </c>
      <c r="L6">
        <f>AVERAGE('Amazon.com _ gaming laptops_dat'!S2:S59)</f>
        <v>4.0631578947368414</v>
      </c>
      <c r="M6">
        <f>MEDIAN('Amazon.com _ gaming laptops_dat'!S2:S59)</f>
        <v>4.3</v>
      </c>
      <c r="N6">
        <f>MIN('Amazon.com _ gaming laptops_dat'!S2:S59)</f>
        <v>0</v>
      </c>
      <c r="O6">
        <f>MAX('Amazon.com _ gaming laptops_dat'!S2:S59)</f>
        <v>5</v>
      </c>
      <c r="P6">
        <f>_xlfn.STDEV.S('Amazon.com _ gaming laptops_dat'!S2:S59)</f>
        <v>1.0713195433248566</v>
      </c>
    </row>
    <row r="7" spans="1:19" x14ac:dyDescent="0.25">
      <c r="A7" t="s">
        <v>381</v>
      </c>
      <c r="B7" t="s">
        <v>392</v>
      </c>
      <c r="C7" t="s">
        <v>397</v>
      </c>
      <c r="E7" t="s">
        <v>419</v>
      </c>
      <c r="F7" t="s">
        <v>420</v>
      </c>
      <c r="G7" t="s">
        <v>421</v>
      </c>
      <c r="H7" t="s">
        <v>422</v>
      </c>
      <c r="I7" t="s">
        <v>423</v>
      </c>
      <c r="K7" t="s">
        <v>383</v>
      </c>
      <c r="L7">
        <f>AVERAGE('Amazon.com _ gaming laptops_dat'!T2:T59)</f>
        <v>100.10526315789474</v>
      </c>
      <c r="M7">
        <f>MEDIAN('Amazon.com _ gaming laptops_dat'!T2:T59)</f>
        <v>20</v>
      </c>
      <c r="N7">
        <f>MIN('Amazon.com _ gaming laptops_dat'!T2:T59)</f>
        <v>0</v>
      </c>
      <c r="O7">
        <f>MAX('Amazon.com _ gaming laptops_dat'!T2:T59)</f>
        <v>2300</v>
      </c>
      <c r="P7">
        <f>_xlfn.STDEV.S('Amazon.com _ gaming laptops_dat'!T2:T59)</f>
        <v>316.63000513276683</v>
      </c>
    </row>
    <row r="8" spans="1:19" x14ac:dyDescent="0.25">
      <c r="A8" t="s">
        <v>382</v>
      </c>
      <c r="B8" t="s">
        <v>392</v>
      </c>
      <c r="C8" t="s">
        <v>398</v>
      </c>
      <c r="E8" s="1" t="s">
        <v>0</v>
      </c>
      <c r="F8" s="1" t="s">
        <v>417</v>
      </c>
      <c r="G8" s="1">
        <f>COUNTBLANK('Amazon.com _ gaming laptops_dat'!A2:A59)</f>
        <v>2</v>
      </c>
      <c r="H8" s="1">
        <f>COUNTA('Amazon.com _ gaming laptops_dat'!A2:A59)</f>
        <v>56</v>
      </c>
      <c r="I8" s="1">
        <f>IFERROR(COUNTBLANK('Amazon.com _ gaming laptops_dat'!A2:A59)/COUNTA('Amazon.com _ gaming laptops_dat'!A2:A59),0)</f>
        <v>3.5714285714285712E-2</v>
      </c>
      <c r="K8" t="s">
        <v>381</v>
      </c>
      <c r="L8">
        <f>AVERAGE('Amazon.com _ gaming laptops_dat'!G2:G59)</f>
        <v>21.20754716981132</v>
      </c>
      <c r="M8">
        <f>MEDIAN('Amazon.com _ gaming laptops_dat'!G2:G59)</f>
        <v>16</v>
      </c>
      <c r="N8">
        <f>MIN('Amazon.com _ gaming laptops_dat'!G2:G59)</f>
        <v>8</v>
      </c>
      <c r="O8">
        <f>MAX('Amazon.com _ gaming laptops_dat'!G2:G59)</f>
        <v>64</v>
      </c>
      <c r="P8">
        <f>_xlfn.STDEV.S('Amazon.com _ gaming laptops_dat'!G2:G59)</f>
        <v>9.7218202050178721</v>
      </c>
    </row>
    <row r="9" spans="1:19" x14ac:dyDescent="0.25">
      <c r="A9" t="s">
        <v>122</v>
      </c>
      <c r="B9" t="s">
        <v>392</v>
      </c>
      <c r="C9" t="s">
        <v>399</v>
      </c>
      <c r="E9" s="1" t="s">
        <v>375</v>
      </c>
      <c r="F9" s="1" t="s">
        <v>415</v>
      </c>
      <c r="G9" s="1">
        <f>COUNTBLANK('Amazon.com _ gaming laptops_dat'!B2:B59)</f>
        <v>0</v>
      </c>
      <c r="H9" s="1">
        <f>COUNTA('Amazon.com _ gaming laptops_dat'!B2:B59)</f>
        <v>58</v>
      </c>
      <c r="I9" s="1">
        <f>IFERROR(COUNTBLANK('Amazon.com _ gaming laptops_dat'!B2:B59)/COUNTA('Amazon.com _ gaming laptops_dat'!B2:B59),0)</f>
        <v>0</v>
      </c>
      <c r="K9" t="s">
        <v>382</v>
      </c>
      <c r="L9">
        <f>AVERAGE('Amazon.com _ gaming laptops_dat'!H2:H58)</f>
        <v>677.13207547169816</v>
      </c>
      <c r="M9">
        <f>MEDIAN('Amazon.com _ gaming laptops_dat'!H2:H58)</f>
        <v>512</v>
      </c>
      <c r="N9">
        <f>MIN('Amazon.com _ gaming laptops_dat'!H2:H58)</f>
        <v>8</v>
      </c>
      <c r="O9">
        <f>MAX('Amazon.com _ gaming laptops_dat'!H2:H58)</f>
        <v>2000</v>
      </c>
      <c r="P9">
        <f>_xlfn.STDEV.S('Amazon.com _ gaming laptops_dat'!H2:H58)</f>
        <v>509.60520306394085</v>
      </c>
    </row>
    <row r="10" spans="1:19" x14ac:dyDescent="0.25">
      <c r="A10" t="s">
        <v>383</v>
      </c>
      <c r="B10" t="s">
        <v>392</v>
      </c>
      <c r="C10" t="s">
        <v>400</v>
      </c>
      <c r="E10" s="1" t="s">
        <v>418</v>
      </c>
      <c r="F10" s="1" t="s">
        <v>415</v>
      </c>
      <c r="G10" s="1">
        <f>COUNTBLANK('Amazon.com _ gaming laptops_dat'!C2:C59)</f>
        <v>0</v>
      </c>
      <c r="H10" s="1">
        <f>COUNTA('Amazon.com _ gaming laptops_dat'!C2:C59)</f>
        <v>58</v>
      </c>
      <c r="I10" s="1">
        <f>IFERROR(COUNTBLANK('Amazon.com _ gaming laptops_dat'!C2:C59)/COUNTA('Amazon.com _ gaming laptops_dat'!C2:C59),0)</f>
        <v>0</v>
      </c>
      <c r="K10" t="s">
        <v>380</v>
      </c>
      <c r="L10">
        <f>AVERAGE('Amazon.com _ gaming laptops_dat'!E2:E59)</f>
        <v>16.076086956521745</v>
      </c>
      <c r="M10">
        <f>MEDIAN('Amazon.com _ gaming laptops_dat'!E2:E59)</f>
        <v>16</v>
      </c>
      <c r="N10">
        <f>MIN('Amazon.com _ gaming laptops_dat'!E2:E59)</f>
        <v>13.4</v>
      </c>
      <c r="O10">
        <f>MAX('Amazon.com _ gaming laptops_dat'!E2:E59)</f>
        <v>18.5</v>
      </c>
      <c r="P10">
        <f>_xlfn.STDEV.S('Amazon.com _ gaming laptops_dat'!E2:E59)</f>
        <v>1.067538140376924</v>
      </c>
    </row>
    <row r="11" spans="1:19" x14ac:dyDescent="0.25">
      <c r="A11" t="s">
        <v>384</v>
      </c>
      <c r="B11" t="s">
        <v>392</v>
      </c>
      <c r="C11" t="s">
        <v>401</v>
      </c>
      <c r="E11" s="1" t="s">
        <v>373</v>
      </c>
      <c r="F11" s="1" t="s">
        <v>415</v>
      </c>
      <c r="G11" s="1">
        <f>COUNTBLANK('Amazon.com _ gaming laptops_dat'!D2:D59)</f>
        <v>0</v>
      </c>
      <c r="H11" s="1">
        <f>COUNTA('Amazon.com _ gaming laptops_dat'!D2:D59)</f>
        <v>58</v>
      </c>
      <c r="I11" s="1">
        <f>IFERROR(COUNTBLANK('Amazon.com _ gaming laptops_dat'!D2:D59)/COUNTA('Amazon.com _ gaming laptops_dat'!D2:D59),0)</f>
        <v>0</v>
      </c>
      <c r="K11" t="s">
        <v>455</v>
      </c>
      <c r="L11">
        <f>AVERAGE('Amazon.com _ gaming laptops_dat'!N2:N59)</f>
        <v>187.625</v>
      </c>
      <c r="M11">
        <f>MEDIAN('Amazon.com _ gaming laptops_dat'!N2:N59)</f>
        <v>165</v>
      </c>
      <c r="N11">
        <f>MIN('Amazon.com _ gaming laptops_dat'!N2:N59)</f>
        <v>120</v>
      </c>
      <c r="O11">
        <f>MAX('Amazon.com _ gaming laptops_dat'!N2:N59)</f>
        <v>240</v>
      </c>
      <c r="P11">
        <f>_xlfn.STDEV.S('Amazon.com _ gaming laptops_dat'!N2:N59)</f>
        <v>39.60216561930838</v>
      </c>
    </row>
    <row r="12" spans="1:19" x14ac:dyDescent="0.25">
      <c r="A12" t="s">
        <v>385</v>
      </c>
      <c r="B12" t="s">
        <v>392</v>
      </c>
      <c r="C12" t="s">
        <v>402</v>
      </c>
      <c r="E12" s="1" t="s">
        <v>363</v>
      </c>
      <c r="F12" s="1" t="s">
        <v>415</v>
      </c>
      <c r="G12" s="1">
        <f>COUNTBLANK('Amazon.com _ gaming laptops_dat'!E2:E59)</f>
        <v>12</v>
      </c>
      <c r="H12" s="1">
        <f>COUNTA('Amazon.com _ gaming laptops_dat'!E2:E59)</f>
        <v>46</v>
      </c>
      <c r="I12" s="1">
        <f>IFERROR(COUNTBLANK('Amazon.com _ gaming laptops_dat'!E2:E59)/COUNTA('Amazon.com _ gaming laptops_dat'!E2:E59),0)</f>
        <v>0.2608695652173913</v>
      </c>
    </row>
    <row r="13" spans="1:19" x14ac:dyDescent="0.25">
      <c r="A13" t="s">
        <v>386</v>
      </c>
      <c r="B13" t="s">
        <v>392</v>
      </c>
      <c r="C13" t="s">
        <v>403</v>
      </c>
      <c r="E13" s="1" t="s">
        <v>124</v>
      </c>
      <c r="F13" s="1" t="s">
        <v>415</v>
      </c>
      <c r="G13" s="1">
        <f>COUNTBLANK('Amazon.com _ gaming laptops_dat'!F2:F59)</f>
        <v>0</v>
      </c>
      <c r="H13" s="1">
        <f>COUNTA('Amazon.com _ gaming laptops_dat'!F2:F59)</f>
        <v>58</v>
      </c>
      <c r="I13" s="1">
        <f>IFERROR(COUNTBLANK('Amazon.com _ gaming laptops_dat'!F2:F59)/COUNTA('Amazon.com _ gaming laptops_dat'!F2:F59),0)</f>
        <v>0</v>
      </c>
    </row>
    <row r="14" spans="1:19" ht="31.8" thickBot="1" x14ac:dyDescent="0.65">
      <c r="A14" t="s">
        <v>387</v>
      </c>
      <c r="B14" t="s">
        <v>392</v>
      </c>
      <c r="C14" t="s">
        <v>404</v>
      </c>
      <c r="E14" s="1" t="s">
        <v>364</v>
      </c>
      <c r="F14" s="1" t="s">
        <v>415</v>
      </c>
      <c r="G14" s="1">
        <f>COUNTBLANK('Amazon.com _ gaming laptops_dat'!G2:G59)</f>
        <v>5</v>
      </c>
      <c r="H14" s="1">
        <f>COUNTA('Amazon.com _ gaming laptops_dat'!G2:G59)</f>
        <v>53</v>
      </c>
      <c r="I14" s="1">
        <f>IFERROR(COUNTBLANK('Amazon.com _ gaming laptops_dat'!G2:G59)/COUNTA('Amazon.com _ gaming laptops_dat'!G2:G59),0)</f>
        <v>9.4339622641509441E-2</v>
      </c>
      <c r="K14" s="45" t="s">
        <v>465</v>
      </c>
      <c r="L14" s="45"/>
      <c r="M14" s="45"/>
      <c r="N14" s="45"/>
      <c r="O14" s="45"/>
      <c r="P14" s="45"/>
      <c r="Q14" s="45"/>
      <c r="R14" s="45"/>
      <c r="S14" s="45"/>
    </row>
    <row r="15" spans="1:19" ht="14.4" thickTop="1" x14ac:dyDescent="0.25">
      <c r="A15" t="s">
        <v>388</v>
      </c>
      <c r="B15" t="s">
        <v>391</v>
      </c>
      <c r="C15" t="s">
        <v>405</v>
      </c>
      <c r="E15" s="1" t="s">
        <v>334</v>
      </c>
      <c r="F15" s="1" t="s">
        <v>415</v>
      </c>
      <c r="G15" s="1">
        <f>COUNTBLANK('Amazon.com _ gaming laptops_dat'!H2:H59)</f>
        <v>5</v>
      </c>
      <c r="H15" s="1">
        <f>COUNTA('Amazon.com _ gaming laptops_dat'!H2:H59)</f>
        <v>53</v>
      </c>
      <c r="I15" s="1">
        <f>IFERROR(COUNTBLANK('Amazon.com _ gaming laptops_dat'!H2:H59)/COUNTA('Amazon.com _ gaming laptops_dat'!H2:H59),0)</f>
        <v>9.4339622641509441E-2</v>
      </c>
      <c r="K15" s="13" t="s">
        <v>466</v>
      </c>
      <c r="L15" s="14" t="s">
        <v>467</v>
      </c>
      <c r="M15" s="25" t="s">
        <v>373</v>
      </c>
    </row>
    <row r="16" spans="1:19" x14ac:dyDescent="0.25">
      <c r="A16" t="s">
        <v>389</v>
      </c>
      <c r="B16" t="s">
        <v>391</v>
      </c>
      <c r="C16" t="s">
        <v>406</v>
      </c>
      <c r="E16" s="1" t="s">
        <v>125</v>
      </c>
      <c r="F16" s="1" t="s">
        <v>415</v>
      </c>
      <c r="G16" s="1">
        <f>COUNTBLANK('Amazon.com _ gaming laptops_dat'!I2:I59)</f>
        <v>0</v>
      </c>
      <c r="H16" s="1">
        <f>COUNTA('Amazon.com _ gaming laptops_dat'!I2:I59)</f>
        <v>58</v>
      </c>
      <c r="I16" s="1">
        <f>IFERROR(COUNTBLANK('Amazon.com _ gaming laptops_dat'!I2:I59)/COUNTA('Amazon.com _ gaming laptops_dat'!I2:I59),0)</f>
        <v>0</v>
      </c>
      <c r="K16" s="1" t="s">
        <v>128</v>
      </c>
      <c r="L16" s="28">
        <f>COUNTIF('Amazon.com _ gaming laptops_dat'!$B$2:$B$59,K16)</f>
        <v>11</v>
      </c>
      <c r="M16" s="1" t="str" cm="1">
        <f t="array" ref="M16">_xlfn.TEXTJOIN(", ",TRUE,_xlfn.UNIQUE(_xlfn._xlws.FILTER('Amazon.com _ gaming laptops_dat'!$D$2:$D$60,'Amazon.com _ gaming laptops_dat'!$B$2:$B$60=K16,"")))</f>
        <v>Gaming</v>
      </c>
    </row>
    <row r="17" spans="1:22" x14ac:dyDescent="0.25">
      <c r="A17" t="s">
        <v>390</v>
      </c>
      <c r="B17" t="s">
        <v>391</v>
      </c>
      <c r="C17" t="s">
        <v>407</v>
      </c>
      <c r="E17" s="1" t="s">
        <v>127</v>
      </c>
      <c r="F17" s="1" t="s">
        <v>415</v>
      </c>
      <c r="G17" s="1">
        <f>COUNTBLANK('Amazon.com _ gaming laptops_dat'!J2:J59)</f>
        <v>0</v>
      </c>
      <c r="H17" s="1">
        <f>COUNTA('Amazon.com _ gaming laptops_dat'!J2:J59)</f>
        <v>58</v>
      </c>
      <c r="I17" s="1">
        <f>IFERROR(COUNTBLANK('Amazon.com _ gaming laptops_dat'!J2:J59)/COUNTA('Amazon.com _ gaming laptops_dat'!J2:J59),0)</f>
        <v>0</v>
      </c>
      <c r="K17" s="1" t="s">
        <v>148</v>
      </c>
      <c r="L17" s="28">
        <f>COUNTIF('Amazon.com _ gaming laptops_dat'!$B$2:$B$59,K17)</f>
        <v>6</v>
      </c>
      <c r="M17" s="1" t="str" cm="1">
        <f t="array" ref="M17">_xlfn.TEXTJOIN(", ",TRUE,_xlfn.UNIQUE(_xlfn._xlws.FILTER('Amazon.com _ gaming laptops_dat'!$D$2:$D$60,'Amazon.com _ gaming laptops_dat'!$B$2:$B$60=K17,"")))</f>
        <v>Gaming</v>
      </c>
    </row>
    <row r="18" spans="1:22" x14ac:dyDescent="0.25">
      <c r="E18" s="1" t="s">
        <v>262</v>
      </c>
      <c r="F18" s="1" t="s">
        <v>415</v>
      </c>
      <c r="G18" s="1">
        <f>COUNTBLANK('Amazon.com _ gaming laptops_dat'!K2:K59)</f>
        <v>0</v>
      </c>
      <c r="H18" s="1">
        <f>COUNTA('Amazon.com _ gaming laptops_dat'!K2:K59)</f>
        <v>58</v>
      </c>
      <c r="I18" s="1">
        <f>IFERROR(COUNTBLANK('Amazon.com _ gaming laptops_dat'!K2:K59)/COUNTA('Amazon.com _ gaming laptops_dat'!K2:K59),0)</f>
        <v>0</v>
      </c>
      <c r="K18" s="1" t="s">
        <v>143</v>
      </c>
      <c r="L18" s="28">
        <f>COUNTIF('Amazon.com _ gaming laptops_dat'!$B$2:$B$59,K18)</f>
        <v>5</v>
      </c>
      <c r="M18" s="1" t="str" cm="1">
        <f t="array" ref="M18">_xlfn.TEXTJOIN(", ",TRUE,_xlfn.UNIQUE(_xlfn._xlws.FILTER('Amazon.com _ gaming laptops_dat'!$D$2:$D$60,'Amazon.com _ gaming laptops_dat'!$B$2:$B$60=K18,"")))</f>
        <v>Normal Use, Office / Business</v>
      </c>
    </row>
    <row r="19" spans="1:22" ht="25.2" x14ac:dyDescent="0.5">
      <c r="A19" s="37" t="s">
        <v>478</v>
      </c>
      <c r="B19" s="37"/>
      <c r="C19" s="37"/>
      <c r="E19" s="1" t="s">
        <v>260</v>
      </c>
      <c r="F19" s="1" t="s">
        <v>415</v>
      </c>
      <c r="G19" s="1">
        <f>COUNTBLANK('Amazon.com _ gaming laptops_dat'!L2:L59)</f>
        <v>0</v>
      </c>
      <c r="H19" s="1">
        <f>COUNTA('Amazon.com _ gaming laptops_dat'!L2:L59)</f>
        <v>58</v>
      </c>
      <c r="I19" s="1">
        <f>IFERROR(COUNTBLANK('Amazon.com _ gaming laptops_dat'!L2:L59)/COUNTA('Amazon.com _ gaming laptops_dat'!L2:L59),0)</f>
        <v>0</v>
      </c>
      <c r="K19" s="1" t="s">
        <v>156</v>
      </c>
      <c r="L19" s="28">
        <f>COUNTIF('Amazon.com _ gaming laptops_dat'!$B$2:$B$59,K19)</f>
        <v>5</v>
      </c>
      <c r="M19" s="1" t="str" cm="1">
        <f t="array" ref="M19">_xlfn.TEXTJOIN(", ",TRUE,_xlfn.UNIQUE(_xlfn._xlws.FILTER('Amazon.com _ gaming laptops_dat'!$D$2:$D$60,'Amazon.com _ gaming laptops_dat'!$B$2:$B$60=K19,"")))</f>
        <v>Gaming</v>
      </c>
    </row>
    <row r="20" spans="1:22" x14ac:dyDescent="0.25">
      <c r="A20" t="s">
        <v>469</v>
      </c>
      <c r="B20" t="s">
        <v>470</v>
      </c>
      <c r="E20" t="s">
        <v>264</v>
      </c>
      <c r="F20" s="1" t="s">
        <v>415</v>
      </c>
      <c r="G20" s="1">
        <f>COUNTBLANK('Amazon.com _ gaming laptops_dat'!M2:M59)</f>
        <v>0</v>
      </c>
      <c r="H20" s="1">
        <f>COUNTA('Amazon.com _ gaming laptops_dat'!M2:M59)</f>
        <v>58</v>
      </c>
      <c r="I20" s="1">
        <f>IFERROR(COUNTBLANK('Amazon.com _ gaming laptops_dat'!M2:M59)/COUNTA('Amazon.com _ gaming laptops_dat'!M2:M59),0)</f>
        <v>0</v>
      </c>
      <c r="K20" s="1" t="s">
        <v>134</v>
      </c>
      <c r="L20" s="28">
        <f>COUNTIF('Amazon.com _ gaming laptops_dat'!$B$2:$B$59,K20)</f>
        <v>4</v>
      </c>
      <c r="M20" s="1" t="str" cm="1">
        <f t="array" ref="M20">_xlfn.TEXTJOIN(", ",TRUE,_xlfn.UNIQUE(_xlfn._xlws.FILTER('Amazon.com _ gaming laptops_dat'!$D$2:$D$60,'Amazon.com _ gaming laptops_dat'!$B$2:$B$60=K20,"")))</f>
        <v>Gaming</v>
      </c>
    </row>
    <row r="21" spans="1:22" x14ac:dyDescent="0.25">
      <c r="A21" s="3" t="s">
        <v>471</v>
      </c>
      <c r="B21">
        <f>COUNTIF('Amazon.com _ gaming laptops_dat'!$X$2:$X$60,"Yes")</f>
        <v>16</v>
      </c>
      <c r="E21" t="s">
        <v>365</v>
      </c>
      <c r="F21" s="1" t="s">
        <v>415</v>
      </c>
      <c r="G21" s="1">
        <f>COUNTBLANK('Amazon.com _ gaming laptops_dat'!N2:N59)</f>
        <v>34</v>
      </c>
      <c r="H21" s="1">
        <f>COUNTA('Amazon.com _ gaming laptops_dat'!N2:N59)</f>
        <v>24</v>
      </c>
      <c r="I21" s="1">
        <f>IFERROR(COUNTBLANK('Amazon.com _ gaming laptops_dat'!N2:N59)/COUNTA('Amazon.com _ gaming laptops_dat'!N2:N59),0)</f>
        <v>1.4166666666666667</v>
      </c>
      <c r="K21" s="1" t="s">
        <v>149</v>
      </c>
      <c r="L21" s="28">
        <f>COUNTIF('Amazon.com _ gaming laptops_dat'!$B$2:$B$59,K21)</f>
        <v>4</v>
      </c>
      <c r="M21" s="1" t="str" cm="1">
        <f t="array" ref="M21">_xlfn.TEXTJOIN(", ",TRUE,_xlfn.UNIQUE(_xlfn._xlws.FILTER('Amazon.com _ gaming laptops_dat'!$D$2:$D$60,'Amazon.com _ gaming laptops_dat'!$B$2:$B$60=K21,"")))</f>
        <v>Normal Use, Office / Business</v>
      </c>
    </row>
    <row r="22" spans="1:22" x14ac:dyDescent="0.25">
      <c r="A22" s="3" t="s">
        <v>472</v>
      </c>
      <c r="B22">
        <f>COUNTIF('Amazon.com _ gaming laptops_dat'!$X$2:$X$60,"No")</f>
        <v>43</v>
      </c>
      <c r="E22" t="s">
        <v>261</v>
      </c>
      <c r="F22" s="1" t="s">
        <v>415</v>
      </c>
      <c r="G22" s="1">
        <f>COUNTBLANK('Amazon.com _ gaming laptops_dat'!O2:O59)</f>
        <v>0</v>
      </c>
      <c r="H22" s="1">
        <f>COUNTA('Amazon.com _ gaming laptops_dat'!O2:O59)</f>
        <v>58</v>
      </c>
      <c r="I22" s="1">
        <f>IFERROR(COUNTBLANK('Amazon.com _ gaming laptops_dat'!O2:O59)/COUNTA('Amazon.com _ gaming laptops_dat'!O2:O59),0)</f>
        <v>0</v>
      </c>
      <c r="K22" s="1" t="s">
        <v>311</v>
      </c>
      <c r="L22" s="28">
        <f>COUNTIF('Amazon.com _ gaming laptops_dat'!$B$2:$B$59,K22)</f>
        <v>4</v>
      </c>
      <c r="M22" s="1" t="str" cm="1">
        <f t="array" ref="M22">_xlfn.TEXTJOIN(", ",TRUE,_xlfn.UNIQUE(_xlfn._xlws.FILTER('Amazon.com _ gaming laptops_dat'!$D$2:$D$60,'Amazon.com _ gaming laptops_dat'!$B$2:$B$60=K22,"")))</f>
        <v>Normal Use</v>
      </c>
      <c r="V22" t="s">
        <v>468</v>
      </c>
    </row>
    <row r="23" spans="1:22" x14ac:dyDescent="0.25">
      <c r="E23" t="s">
        <v>123</v>
      </c>
      <c r="F23" s="1" t="s">
        <v>415</v>
      </c>
      <c r="G23" s="1">
        <f>COUNTBLANK('Amazon.com _ gaming laptops_dat'!P2:P59)</f>
        <v>0</v>
      </c>
      <c r="H23" s="1">
        <f>COUNTA('Amazon.com _ gaming laptops_dat'!P2:P59)</f>
        <v>58</v>
      </c>
      <c r="I23" s="1">
        <f>IFERROR(COUNTBLANK('Amazon.com _ gaming laptops_dat'!P2:P59)/COUNTA('Amazon.com _ gaming laptops_dat'!P2:P59),0)</f>
        <v>0</v>
      </c>
      <c r="K23" s="1" t="s">
        <v>216</v>
      </c>
      <c r="L23" s="28">
        <f>COUNTIF('Amazon.com _ gaming laptops_dat'!$B$2:$B$59,K23)</f>
        <v>3</v>
      </c>
      <c r="M23" s="1" t="str" cm="1">
        <f t="array" ref="M23">_xlfn.TEXTJOIN(", ",TRUE,_xlfn.UNIQUE(_xlfn._xlws.FILTER('Amazon.com _ gaming laptops_dat'!$D$2:$D$60,'Amazon.com _ gaming laptops_dat'!$B$2:$B$60=K23,"")))</f>
        <v>Office / Business, Normal Use</v>
      </c>
      <c r="V23">
        <f>CORREL(Sheet2!A2:A59,Sheet2!B2:B59)</f>
        <v>0.46313189330083004</v>
      </c>
    </row>
    <row r="24" spans="1:22" x14ac:dyDescent="0.25">
      <c r="E24" t="s">
        <v>126</v>
      </c>
      <c r="F24" s="1" t="s">
        <v>415</v>
      </c>
      <c r="G24" s="1">
        <f>COUNTBLANK('Amazon.com _ gaming laptops_dat'!Q2:Q59)</f>
        <v>7</v>
      </c>
      <c r="H24" s="1">
        <f>COUNTA('Amazon.com _ gaming laptops_dat'!Q2:Q59)</f>
        <v>51</v>
      </c>
      <c r="I24" s="1">
        <f>IFERROR(COUNTBLANK('Amazon.com _ gaming laptops_dat'!Q2:Q59)/COUNTA('Amazon.com _ gaming laptops_dat'!Q2:Q59),0)</f>
        <v>0.13725490196078433</v>
      </c>
      <c r="K24" s="1" t="s">
        <v>235</v>
      </c>
      <c r="L24" s="28">
        <f>COUNTIF('Amazon.com _ gaming laptops_dat'!$B$2:$B$59,K24)</f>
        <v>3</v>
      </c>
      <c r="M24" s="1" t="str" cm="1">
        <f t="array" ref="M24">_xlfn.TEXTJOIN(", ",TRUE,_xlfn.UNIQUE(_xlfn._xlws.FILTER('Amazon.com _ gaming laptops_dat'!$D$2:$D$60,'Amazon.com _ gaming laptops_dat'!$B$2:$B$60=K24,"")))</f>
        <v>Office / Business</v>
      </c>
    </row>
    <row r="25" spans="1:22" x14ac:dyDescent="0.25">
      <c r="E25" t="s">
        <v>263</v>
      </c>
      <c r="F25" s="1" t="s">
        <v>415</v>
      </c>
      <c r="G25" s="1">
        <f>COUNTBLANK('Amazon.com _ gaming laptops_dat'!R2:R59)</f>
        <v>0</v>
      </c>
      <c r="H25" s="1">
        <f>COUNTA('Amazon.com _ gaming laptops_dat'!R2:R59)</f>
        <v>58</v>
      </c>
      <c r="I25" s="1">
        <f>IFERROR(COUNTBLANK('Amazon.com _ gaming laptops_dat'!R2:R59)/COUNTA('Amazon.com _ gaming laptops_dat'!R2:R59),0)</f>
        <v>0</v>
      </c>
      <c r="K25" s="1" t="s">
        <v>166</v>
      </c>
      <c r="L25" s="28">
        <f>COUNTIF('Amazon.com _ gaming laptops_dat'!$B$2:$B$59,K25)</f>
        <v>2</v>
      </c>
      <c r="M25" s="1" t="str" cm="1">
        <f t="array" ref="M25">_xlfn.TEXTJOIN(", ",TRUE,_xlfn.UNIQUE(_xlfn._xlws.FILTER('Amazon.com _ gaming laptops_dat'!$D$2:$D$60,'Amazon.com _ gaming laptops_dat'!$B$2:$B$60=K25,"")))</f>
        <v>Normal Use</v>
      </c>
    </row>
    <row r="26" spans="1:22" x14ac:dyDescent="0.25">
      <c r="E26" t="s">
        <v>477</v>
      </c>
      <c r="F26" s="1" t="s">
        <v>415</v>
      </c>
      <c r="G26" s="1">
        <f>COUNTBLANK('Amazon.com _ gaming laptops_dat'!S2:S59)</f>
        <v>1</v>
      </c>
      <c r="H26" s="1">
        <f>COUNTA('Amazon.com _ gaming laptops_dat'!S2:S59)</f>
        <v>57</v>
      </c>
      <c r="I26" s="1">
        <f>IFERROR(COUNTBLANK('Amazon.com _ gaming laptops_dat'!S2:S59)/COUNTA('Amazon.com _ gaming laptops_dat'!S2:S59),0)</f>
        <v>1.7543859649122806E-2</v>
      </c>
      <c r="K26" s="1" t="s">
        <v>212</v>
      </c>
      <c r="L26" s="28">
        <f>COUNTIF('Amazon.com _ gaming laptops_dat'!$B$2:$B$59,K26)</f>
        <v>2</v>
      </c>
      <c r="M26" s="1" t="str" cm="1">
        <f t="array" ref="M26">_xlfn.TEXTJOIN(", ",TRUE,_xlfn.UNIQUE(_xlfn._xlws.FILTER('Amazon.com _ gaming laptops_dat'!$D$2:$D$60,'Amazon.com _ gaming laptops_dat'!$B$2:$B$60=K26,"")))</f>
        <v>Normal Use</v>
      </c>
    </row>
    <row r="27" spans="1:22" x14ac:dyDescent="0.25">
      <c r="E27" t="s">
        <v>121</v>
      </c>
      <c r="F27" s="1" t="s">
        <v>415</v>
      </c>
      <c r="G27" s="1">
        <f>COUNTBLANK('Amazon.com _ gaming laptops_dat'!T2:T59)</f>
        <v>1</v>
      </c>
      <c r="H27" s="1">
        <f>COUNTA('Amazon.com _ gaming laptops_dat'!T2:T59)</f>
        <v>57</v>
      </c>
      <c r="I27" s="1">
        <f>IFERROR(COUNTBLANK('Amazon.com _ gaming laptops_dat'!T2:T59)/COUNTA('Amazon.com _ gaming laptops_dat'!T2:T59),0)</f>
        <v>1.7543859649122806E-2</v>
      </c>
      <c r="K27" s="1" t="s">
        <v>220</v>
      </c>
      <c r="L27" s="28">
        <f>COUNTIF('Amazon.com _ gaming laptops_dat'!$B$2:$B$59,K27)</f>
        <v>1</v>
      </c>
      <c r="M27" s="1" t="str" cm="1">
        <f t="array" ref="M27">_xlfn.TEXTJOIN(", ",TRUE,_xlfn.UNIQUE(_xlfn._xlws.FILTER('Amazon.com _ gaming laptops_dat'!$D$2:$D$60,'Amazon.com _ gaming laptops_dat'!$B$2:$B$60=K27,"")))</f>
        <v>Office / Business</v>
      </c>
    </row>
    <row r="28" spans="1:22" x14ac:dyDescent="0.25">
      <c r="E28" t="s">
        <v>366</v>
      </c>
      <c r="F28" s="1" t="s">
        <v>415</v>
      </c>
      <c r="G28" s="1">
        <f>COUNTBLANK('Amazon.com _ gaming laptops_dat'!U2:U59)</f>
        <v>0</v>
      </c>
      <c r="H28" s="1">
        <f>COUNTA('Amazon.com _ gaming laptops_dat'!U2:U59)</f>
        <v>58</v>
      </c>
      <c r="I28" s="1">
        <f>IFERROR(COUNTBLANK('Amazon.com _ gaming laptops_dat'!U2:U59)/COUNTA('Amazon.com _ gaming laptops_dat'!U2:U59),0)</f>
        <v>0</v>
      </c>
      <c r="K28" s="1" t="s">
        <v>173</v>
      </c>
      <c r="L28" s="28">
        <f>COUNTIF('Amazon.com _ gaming laptops_dat'!$B$2:$B$59,K28)</f>
        <v>1</v>
      </c>
      <c r="M28" s="1" t="str" cm="1">
        <f t="array" ref="M28">_xlfn.TEXTJOIN(", ",TRUE,_xlfn.UNIQUE(_xlfn._xlws.FILTER('Amazon.com _ gaming laptops_dat'!$D$2:$D$60,'Amazon.com _ gaming laptops_dat'!$B$2:$B$60=K28,"")))</f>
        <v>Gaming</v>
      </c>
    </row>
    <row r="29" spans="1:22" x14ac:dyDescent="0.25">
      <c r="E29" t="s">
        <v>332</v>
      </c>
      <c r="F29" s="1" t="s">
        <v>415</v>
      </c>
      <c r="G29" s="1">
        <f>COUNTBLANK('Amazon.com _ gaming laptops_dat'!V2:V59)</f>
        <v>0</v>
      </c>
      <c r="H29" s="1">
        <f>COUNTA('Amazon.com _ gaming laptops_dat'!V2:V59)</f>
        <v>58</v>
      </c>
      <c r="I29" s="1">
        <f>IFERROR(COUNTBLANK('Amazon.com _ gaming laptops_dat'!V2:V59)/COUNTA('Amazon.com _ gaming laptops_dat'!V2:V59),0)</f>
        <v>0</v>
      </c>
      <c r="K29" s="1" t="s">
        <v>174</v>
      </c>
      <c r="L29" s="28">
        <f>COUNTIF('Amazon.com _ gaming laptops_dat'!$B$2:$B$59,K29)</f>
        <v>1</v>
      </c>
      <c r="M29" s="1" t="str" cm="1">
        <f t="array" ref="M29">_xlfn.TEXTJOIN(", ",TRUE,_xlfn.UNIQUE(_xlfn._xlws.FILTER('Amazon.com _ gaming laptops_dat'!$D$2:$D$60,'Amazon.com _ gaming laptops_dat'!$B$2:$B$60=K29,"")))</f>
        <v>Office / Business</v>
      </c>
    </row>
    <row r="30" spans="1:22" x14ac:dyDescent="0.25">
      <c r="E30" s="1" t="s">
        <v>367</v>
      </c>
      <c r="F30" s="1" t="s">
        <v>415</v>
      </c>
      <c r="G30" s="1">
        <f>COUNTBLANK('Amazon.com _ gaming laptops_dat'!W2:W59)</f>
        <v>0</v>
      </c>
      <c r="H30" s="1">
        <f>COUNTA('Amazon.com _ gaming laptops_dat'!W2:W59)</f>
        <v>58</v>
      </c>
      <c r="I30" s="1">
        <f>IFERROR(COUNTBLANK('Amazon.com _ gaming laptops_dat'!W2:W59)/COUNTA('Amazon.com _ gaming laptops_dat'!W2:W59),0)</f>
        <v>0</v>
      </c>
      <c r="K30" s="1" t="s">
        <v>252</v>
      </c>
      <c r="L30" s="28">
        <f>COUNTIF('Amazon.com _ gaming laptops_dat'!$B$2:$B$59,K30)</f>
        <v>1</v>
      </c>
      <c r="M30" s="1" t="str" cm="1">
        <f t="array" ref="M30">_xlfn.TEXTJOIN(", ",TRUE,_xlfn.UNIQUE(_xlfn._xlws.FILTER('Amazon.com _ gaming laptops_dat'!$D$2:$D$60,'Amazon.com _ gaming laptops_dat'!$B$2:$B$60=K30,"")))</f>
        <v>Office / Business</v>
      </c>
    </row>
    <row r="31" spans="1:22" x14ac:dyDescent="0.25">
      <c r="E31" s="1" t="s">
        <v>333</v>
      </c>
      <c r="F31" s="1" t="s">
        <v>415</v>
      </c>
      <c r="G31" s="1">
        <f>COUNTBLANK('Amazon.com _ gaming laptops_dat'!Y2:Y59)</f>
        <v>0</v>
      </c>
      <c r="H31" s="1">
        <f>COUNTA('Amazon.com _ gaming laptops_dat'!Y2:Y59)</f>
        <v>58</v>
      </c>
      <c r="I31" s="1">
        <f>IFERROR(COUNTBLANK('Amazon.com _ gaming laptops_dat'!Y2:Y59)/COUNTA('Amazon.com _ gaming laptops_dat'!Y2:Y59),0)</f>
        <v>0</v>
      </c>
      <c r="K31" s="1" t="s">
        <v>207</v>
      </c>
      <c r="L31" s="28">
        <f>COUNTIF('Amazon.com _ gaming laptops_dat'!$B$2:$B$59,K31)</f>
        <v>1</v>
      </c>
      <c r="M31" s="1" t="str" cm="1">
        <f t="array" ref="M31">_xlfn.TEXTJOIN(", ",TRUE,_xlfn.UNIQUE(_xlfn._xlws.FILTER('Amazon.com _ gaming laptops_dat'!$D$2:$D$60,'Amazon.com _ gaming laptops_dat'!$B$2:$B$60=K31,"")))</f>
        <v>Normal Use</v>
      </c>
    </row>
    <row r="32" spans="1:22" x14ac:dyDescent="0.25">
      <c r="E32" s="1" t="s">
        <v>369</v>
      </c>
      <c r="F32" s="1" t="s">
        <v>415</v>
      </c>
      <c r="G32" s="1">
        <f>COUNTBLANK('Amazon.com _ gaming laptops_dat'!Z2:Z59)</f>
        <v>2</v>
      </c>
      <c r="H32" s="1">
        <f>COUNTA('Amazon.com _ gaming laptops_dat'!Z2:Z59)</f>
        <v>56</v>
      </c>
      <c r="I32" s="1">
        <f>IFERROR(COUNTBLANK('Amazon.com _ gaming laptops_dat'!Z2:Z59)/COUNTA('Amazon.com _ gaming laptops_dat'!Z2:Z59),0)</f>
        <v>3.5714285714285712E-2</v>
      </c>
      <c r="K32" s="1" t="s">
        <v>159</v>
      </c>
      <c r="L32" s="28">
        <f>COUNTIF('Amazon.com _ gaming laptops_dat'!$B$2:$B$59,K32)</f>
        <v>1</v>
      </c>
      <c r="M32" s="1" t="str" cm="1">
        <f t="array" ref="M32">_xlfn.TEXTJOIN(", ",TRUE,_xlfn.UNIQUE(_xlfn._xlws.FILTER('Amazon.com _ gaming laptops_dat'!$D$2:$D$60,'Amazon.com _ gaming laptops_dat'!$B$2:$B$60=K32,"")))</f>
        <v>Gaming</v>
      </c>
    </row>
    <row r="33" spans="1:22" x14ac:dyDescent="0.25">
      <c r="E33" s="1" t="s">
        <v>370</v>
      </c>
      <c r="F33" s="1" t="s">
        <v>415</v>
      </c>
      <c r="G33" s="1">
        <f>COUNTBLANK('Amazon.com _ gaming laptops_dat'!AA2:AA59)</f>
        <v>58</v>
      </c>
      <c r="H33" s="1">
        <f>COUNTA('Amazon.com _ gaming laptops_dat'!AA2:AA59)</f>
        <v>0</v>
      </c>
      <c r="I33" s="1">
        <f>IFERROR(COUNTBLANK('Amazon.com _ gaming laptops_dat'!AA2:AA59)/COUNTA('Amazon.com _ gaming laptops_dat'!AA2:AA59),0)</f>
        <v>0</v>
      </c>
      <c r="K33" s="1" t="s">
        <v>246</v>
      </c>
      <c r="L33" s="28">
        <f>COUNTIF('Amazon.com _ gaming laptops_dat'!$B$2:$B$59,K33)</f>
        <v>1</v>
      </c>
      <c r="M33" s="1" t="str" cm="1">
        <f t="array" ref="M33">_xlfn.TEXTJOIN(", ",TRUE,_xlfn.UNIQUE(_xlfn._xlws.FILTER('Amazon.com _ gaming laptops_dat'!$D$2:$D$60,'Amazon.com _ gaming laptops_dat'!$B$2:$B$60=K33,"")))</f>
        <v>Normal Use</v>
      </c>
    </row>
    <row r="34" spans="1:22" x14ac:dyDescent="0.25">
      <c r="E34" s="1" t="s">
        <v>2</v>
      </c>
      <c r="F34" s="1" t="s">
        <v>417</v>
      </c>
      <c r="G34" s="1">
        <f>COUNTBLANK('Amazon.com _ gaming laptops_dat'!AB2:AB59)</f>
        <v>5</v>
      </c>
      <c r="H34" s="1">
        <f>COUNTA('Amazon.com _ gaming laptops_dat'!AB2:AB59)</f>
        <v>53</v>
      </c>
      <c r="I34" s="1">
        <f>IFERROR(COUNTBLANK('Amazon.com _ gaming laptops_dat'!AB2:AB59)/COUNTA('Amazon.com _ gaming laptops_dat'!AB2:AB59),0)</f>
        <v>9.4339622641509441E-2</v>
      </c>
      <c r="K34" s="1" t="s">
        <v>187</v>
      </c>
      <c r="L34" s="28">
        <f>COUNTIF('Amazon.com _ gaming laptops_dat'!$B$2:$B$59,K34)</f>
        <v>1</v>
      </c>
      <c r="M34" s="1" t="str" cm="1">
        <f t="array" ref="M34">_xlfn.TEXTJOIN(", ",TRUE,_xlfn.UNIQUE(_xlfn._xlws.FILTER('Amazon.com _ gaming laptops_dat'!$D$2:$D$60,'Amazon.com _ gaming laptops_dat'!$B$2:$B$60=K34,"")))</f>
        <v>Normal Use</v>
      </c>
    </row>
    <row r="35" spans="1:22" x14ac:dyDescent="0.25">
      <c r="E35" s="1" t="s">
        <v>1</v>
      </c>
      <c r="F35" s="1" t="s">
        <v>417</v>
      </c>
      <c r="G35" s="1">
        <f>COUNTBLANK('Amazon.com _ gaming laptops_dat'!AC2:AC59)</f>
        <v>0</v>
      </c>
      <c r="H35" s="1">
        <f>COUNTA('Amazon.com _ gaming laptops_dat'!AC2:AC59)</f>
        <v>58</v>
      </c>
      <c r="I35" s="1">
        <f>IFERROR(COUNTBLANK('Amazon.com _ gaming laptops_dat'!AC2:AC59)/COUNTA('Amazon.com _ gaming laptops_dat'!AC2:AC59),0)</f>
        <v>0</v>
      </c>
      <c r="K35" s="1" t="s">
        <v>190</v>
      </c>
      <c r="L35" s="28">
        <f>COUNTIF('Amazon.com _ gaming laptops_dat'!$B$2:$B$59,K35)</f>
        <v>1</v>
      </c>
      <c r="M35" s="1" t="str" cm="1">
        <f t="array" ref="M35">_xlfn.TEXTJOIN(", ",TRUE,_xlfn.UNIQUE(_xlfn._xlws.FILTER('Amazon.com _ gaming laptops_dat'!$D$2:$D$60,'Amazon.com _ gaming laptops_dat'!$B$2:$B$60=K35,"")))</f>
        <v>Office / Business</v>
      </c>
    </row>
    <row r="36" spans="1:22" ht="15" thickBot="1" x14ac:dyDescent="0.35">
      <c r="E36" s="10" t="s">
        <v>416</v>
      </c>
      <c r="F36" s="10"/>
      <c r="G36" s="10">
        <f>SUM(G8:G35)</f>
        <v>132</v>
      </c>
      <c r="H36" s="10">
        <f>SUM(H8:H35)</f>
        <v>1492</v>
      </c>
      <c r="I36" s="10">
        <f>IFERROR(G36/H36,0)</f>
        <v>8.8471849865951746E-2</v>
      </c>
    </row>
    <row r="40" spans="1:22" ht="31.2" x14ac:dyDescent="0.6">
      <c r="E40" s="41" t="s">
        <v>479</v>
      </c>
      <c r="F40" s="42"/>
      <c r="G40" s="42"/>
      <c r="H40" s="42"/>
      <c r="I40" s="42"/>
      <c r="J40" s="42"/>
      <c r="K40" s="42"/>
      <c r="L40" s="42"/>
    </row>
    <row r="41" spans="1:22" ht="37.200000000000003" x14ac:dyDescent="0.75">
      <c r="A41" s="39" t="s">
        <v>473</v>
      </c>
      <c r="B41" s="40"/>
      <c r="C41" s="40"/>
      <c r="E41" t="s">
        <v>262</v>
      </c>
      <c r="F41" t="s">
        <v>467</v>
      </c>
      <c r="M41" s="35" t="s">
        <v>474</v>
      </c>
      <c r="N41" s="35"/>
      <c r="O41" s="35"/>
      <c r="P41" s="35"/>
      <c r="Q41" s="35"/>
      <c r="R41" s="35"/>
      <c r="S41" s="35"/>
    </row>
    <row r="42" spans="1:22" ht="14.4" x14ac:dyDescent="0.3">
      <c r="A42" s="23" t="s">
        <v>373</v>
      </c>
      <c r="B42" s="24" t="s">
        <v>467</v>
      </c>
      <c r="E42" t="s">
        <v>230</v>
      </c>
      <c r="F42">
        <v>5</v>
      </c>
      <c r="M42" s="26" t="s">
        <v>364</v>
      </c>
      <c r="N42" s="26" t="s">
        <v>467</v>
      </c>
      <c r="V42" t="s">
        <v>481</v>
      </c>
    </row>
    <row r="43" spans="1:22" ht="14.4" x14ac:dyDescent="0.3">
      <c r="A43" s="21" t="s">
        <v>231</v>
      </c>
      <c r="B43" s="21">
        <f>COUNTIF('Amazon.com _ gaming laptops_dat'!$D$2:$D$60,A43)</f>
        <v>28</v>
      </c>
      <c r="E43" t="s">
        <v>266</v>
      </c>
      <c r="F43">
        <v>4</v>
      </c>
      <c r="M43">
        <v>8</v>
      </c>
      <c r="N43">
        <f>COUNTIF('Amazon.com _ gaming laptops_dat'!$G$2:$G$60,M43)</f>
        <v>4</v>
      </c>
      <c r="V43">
        <f>CORREL('Amazon.com _ gaming laptops_dat'!H:H,'Amazon.com _ gaming laptops_dat'!U:U)</f>
        <v>0.68477870554303655</v>
      </c>
    </row>
    <row r="44" spans="1:22" ht="14.4" x14ac:dyDescent="0.3">
      <c r="A44" s="22" t="s">
        <v>462</v>
      </c>
      <c r="B44" s="22">
        <f>COUNTIF('Amazon.com _ gaming laptops_dat'!$D$2:$D$60,A44)</f>
        <v>18</v>
      </c>
      <c r="E44" t="s">
        <v>203</v>
      </c>
      <c r="F44">
        <v>2</v>
      </c>
      <c r="M44">
        <v>12</v>
      </c>
      <c r="N44">
        <f>COUNTIF('Amazon.com _ gaming laptops_dat'!$G$2:$G$60,M44)</f>
        <v>1</v>
      </c>
    </row>
    <row r="45" spans="1:22" ht="14.4" x14ac:dyDescent="0.3">
      <c r="A45" s="22" t="s">
        <v>463</v>
      </c>
      <c r="B45" s="22">
        <f>COUNTIF('Amazon.com _ gaming laptops_dat'!$D$2:$D$60,A45)</f>
        <v>12</v>
      </c>
      <c r="E45" t="s">
        <v>301</v>
      </c>
      <c r="F45">
        <v>2</v>
      </c>
      <c r="M45">
        <v>16</v>
      </c>
      <c r="N45">
        <f>COUNTIF('Amazon.com _ gaming laptops_dat'!$G$2:$G$60,M45)</f>
        <v>27</v>
      </c>
    </row>
    <row r="46" spans="1:22" x14ac:dyDescent="0.25">
      <c r="E46" t="s">
        <v>277</v>
      </c>
      <c r="F46">
        <v>2</v>
      </c>
      <c r="M46">
        <v>24</v>
      </c>
      <c r="N46">
        <f>COUNTIF('Amazon.com _ gaming laptops_dat'!$G$2:$G$60,M46)</f>
        <v>7</v>
      </c>
    </row>
    <row r="47" spans="1:22" x14ac:dyDescent="0.25">
      <c r="E47" t="s">
        <v>299</v>
      </c>
      <c r="F47">
        <v>1</v>
      </c>
      <c r="M47">
        <v>32</v>
      </c>
      <c r="N47">
        <f>COUNTIF('Amazon.com _ gaming laptops_dat'!$G$2:$G$60,M47)</f>
        <v>13</v>
      </c>
    </row>
    <row r="48" spans="1:22" x14ac:dyDescent="0.25">
      <c r="E48" t="s">
        <v>242</v>
      </c>
      <c r="F48">
        <v>1</v>
      </c>
      <c r="M48">
        <v>64</v>
      </c>
      <c r="N48">
        <f>COUNTIF('Amazon.com _ gaming laptops_dat'!$G$2:$G$60,M48)</f>
        <v>1</v>
      </c>
    </row>
    <row r="49" spans="5:14" x14ac:dyDescent="0.25">
      <c r="E49" t="s">
        <v>298</v>
      </c>
      <c r="F49">
        <v>1</v>
      </c>
      <c r="M49" t="s">
        <v>475</v>
      </c>
      <c r="N49" s="27" t="str">
        <f>INDEX(M43:M48,MATCH(MAX(N43:N48),N43:N48,0))&amp;" GB"</f>
        <v>16 GB</v>
      </c>
    </row>
    <row r="50" spans="5:14" x14ac:dyDescent="0.25">
      <c r="E50" t="s">
        <v>211</v>
      </c>
      <c r="F50">
        <v>1</v>
      </c>
    </row>
    <row r="51" spans="5:14" x14ac:dyDescent="0.25">
      <c r="E51" t="s">
        <v>280</v>
      </c>
      <c r="F51">
        <v>1</v>
      </c>
    </row>
    <row r="52" spans="5:14" x14ac:dyDescent="0.25">
      <c r="E52" t="s">
        <v>293</v>
      </c>
      <c r="F52">
        <v>1</v>
      </c>
    </row>
    <row r="68" spans="1:22" ht="28.8" thickBot="1" x14ac:dyDescent="0.6">
      <c r="A68" s="36" t="s">
        <v>464</v>
      </c>
      <c r="B68" s="36"/>
      <c r="C68" s="36"/>
      <c r="V68" t="s">
        <v>480</v>
      </c>
    </row>
    <row r="69" spans="1:22" ht="14.4" thickTop="1" x14ac:dyDescent="0.25">
      <c r="A69" s="20" t="s">
        <v>373</v>
      </c>
      <c r="B69" s="15" t="s">
        <v>461</v>
      </c>
      <c r="V69">
        <f>CORREL('Amazon.com _ gaming laptops_dat'!S:S,'Amazon.com _ gaming laptops_dat'!W:W)</f>
        <v>0.14161869637980548</v>
      </c>
    </row>
    <row r="70" spans="1:22" x14ac:dyDescent="0.25">
      <c r="A70" s="16" t="s">
        <v>231</v>
      </c>
      <c r="B70" s="17">
        <f>AVERAGEIF('Amazon.com _ gaming laptops_dat'!$D$2:$D$59,A70,'Amazon.com _ gaming laptops_dat'!$U$2:$U$59)</f>
        <v>608827.26142857154</v>
      </c>
    </row>
    <row r="71" spans="1:22" x14ac:dyDescent="0.25">
      <c r="A71" s="18" t="s">
        <v>462</v>
      </c>
      <c r="B71" s="19">
        <f>AVERAGEIF('Amazon.com _ gaming laptops_dat'!$D$2:$D$59,A71,'Amazon.com _ gaming laptops_dat'!$U$2:$U$59)</f>
        <v>307663.94222222222</v>
      </c>
    </row>
    <row r="72" spans="1:22" x14ac:dyDescent="0.25">
      <c r="A72" s="16" t="s">
        <v>463</v>
      </c>
      <c r="B72" s="17">
        <f>AVERAGEIF('Amazon.com _ gaming laptops_dat'!$D$2:$D$59,A72,'Amazon.com _ gaming laptops_dat'!$U$2:$U$59)</f>
        <v>216586.39333333331</v>
      </c>
    </row>
  </sheetData>
  <mergeCells count="9">
    <mergeCell ref="M41:S41"/>
    <mergeCell ref="A68:C68"/>
    <mergeCell ref="A19:C19"/>
    <mergeCell ref="A1:C1"/>
    <mergeCell ref="E1:H1"/>
    <mergeCell ref="A41:C41"/>
    <mergeCell ref="E40:L40"/>
    <mergeCell ref="K1:N1"/>
    <mergeCell ref="K14:S14"/>
  </mergeCells>
  <pageMargins left="0.7" right="0.7" top="0.75" bottom="0.75" header="0.3" footer="0.3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Amazon.com _ gaming laptops_dat</vt:lpstr>
      <vt:lpstr>Sheet2</vt:lpstr>
      <vt:lpstr>Exploratory Data Analysis (EDA)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 EJAZ</cp:lastModifiedBy>
  <dcterms:created xsi:type="dcterms:W3CDTF">2026-09-19T12:57:45Z</dcterms:created>
  <dcterms:modified xsi:type="dcterms:W3CDTF">2026-09-25T11:09:40Z</dcterms:modified>
</cp:coreProperties>
</file>